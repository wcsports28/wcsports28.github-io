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Outlook" sheetId="1" state="visible" r:id="rId3"/>
    <sheet name="Goalies" sheetId="2" state="visible" r:id="rId4"/>
    <sheet name="Line Stat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" authorId="0">
      <text>
        <r>
          <rPr>
            <sz val="10"/>
            <rFont val="Arial"/>
            <family val="2"/>
          </rPr>
          <t xml:space="preserve">TOI-weighted average of the team's line Scoring Indexes (low-sample lines excluded). Higher = better chance to score tonight.</t>
        </r>
      </text>
    </comment>
    <comment ref="F12" authorId="0">
      <text>
        <r>
          <rPr>
            <sz val="10"/>
            <rFont val="Arial"/>
            <family val="2"/>
          </rPr>
          <t xml:space="preserve">Opponent's average Daily Faceoff D-Score. LOWER = weaker defence = easier matchup (shows green).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Goals Saved Above Expected per 100 unblocked shots from left wingers. (MoneyPuck xGoals − goals allowed) ÷ shots × 100. Negative = allows more than expected = weakness.</t>
        </r>
      </text>
    </comment>
    <comment ref="Q5" authorId="0">
      <text>
        <r>
          <rPr>
            <sz val="10"/>
            <rFont val="Arial"/>
            <family val="2"/>
          </rPr>
          <t xml:space="preserve">Position with the lowest GSAx/100 — the shooter type this goalie struggles with most.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Daily Faceoff O-Score: all offensive metrics in one number, relative to the other lines on tonight's slate.</t>
        </r>
      </text>
    </comment>
    <comment ref="P5" authorId="0">
      <text>
        <r>
          <rPr>
            <sz val="10"/>
            <rFont val="Arial"/>
            <family val="2"/>
          </rPr>
          <t xml:space="preserve">Daily Faceoff D-Score: all defensive metrics in one number, relative to tonight's slate. Higher = better defence.</t>
        </r>
      </text>
    </comment>
    <comment ref="S5" authorId="0">
      <text>
        <r>
          <rPr>
            <sz val="10"/>
            <rFont val="Arial"/>
            <family val="2"/>
          </rPr>
          <t xml:space="preserve">0–100. Blends the line's own chance creation (xGF/60, HDCF/60, SCF/60, CF/60 ranked against tonight's slate) with how weak the opponent's defence is (opponent's avg D-Score). Weights live on the Settings tab.</t>
        </r>
      </text>
    </comment>
    <comment ref="T5" authorId="0">
      <text>
        <r>
          <rPr>
            <sz val="10"/>
            <rFont val="Arial"/>
            <family val="2"/>
          </rPr>
          <t xml:space="preserve">HIGH / MEDIUM / LOW by Scoring Index. LOW SAMPLE = line has no chance data yet (new combination) — ignore it. CAUTION = extreme CF%/xGF% split (likely tiny sample); excluded from Top 3 and team scores.</t>
        </r>
      </text>
    </comment>
  </commentList>
</comments>
</file>

<file path=xl/sharedStrings.xml><?xml version="1.0" encoding="utf-8"?>
<sst xmlns="http://schemas.openxmlformats.org/spreadsheetml/2006/main" count="211" uniqueCount="114">
  <si>
    <t xml:space="preserve">WCS ANALYTICS — TONIGHT'S SCORING OUTLOOK</t>
  </si>
  <si>
    <t xml:space="preserve">TOP 3 LINES MOST LIKELY TO SCORE TONIGHT</t>
  </si>
  <si>
    <t xml:space="preserve">#</t>
  </si>
  <si>
    <t xml:space="preserve">Team</t>
  </si>
  <si>
    <t xml:space="preserve">Line</t>
  </si>
  <si>
    <t xml:space="preserve">Opponent</t>
  </si>
  <si>
    <t xml:space="preserve">Scoring Index</t>
  </si>
  <si>
    <t xml:space="preserve">Tier</t>
  </si>
  <si>
    <t xml:space="preserve">Why</t>
  </si>
  <si>
    <t xml:space="preserve">TEAM-BY-TEAM</t>
  </si>
  <si>
    <t xml:space="preserve">Team Scoring Chance</t>
  </si>
  <si>
    <t xml:space="preserve">Avg O-Score</t>
  </si>
  <si>
    <t xml:space="preserve">Opp Avg D-Score</t>
  </si>
  <si>
    <t xml:space="preserve">Best Line</t>
  </si>
  <si>
    <t xml:space="preserve">Best Line Index</t>
  </si>
  <si>
    <t xml:space="preserve">Outlook</t>
  </si>
  <si>
    <t xml:space="preserve">WCS ANALYTICS — STARTING GOALIES &amp; WEAKNESS BY SHOOTER POSITION</t>
  </si>
  <si>
    <t xml:space="preserve">Starters: Daily Faceoff. Shot splits: MoneyPuck.com shot data (2025-26 + 2026-27 regular season). Blue columns are filled by wcs_goalie_update.py (or by hand). GSAx/100 = goals saved above expected per 100 unblocked shots — POSITIVE = better than expected (green), NEGATIVE = weakness (red).</t>
  </si>
  <si>
    <t xml:space="preserve">Slate date:</t>
  </si>
  <si>
    <t xml:space="preserve">2026-10-07</t>
  </si>
  <si>
    <t xml:space="preserve">STARTER</t>
  </si>
  <si>
    <t xml:space="preserve">vs LEFT WING</t>
  </si>
  <si>
    <t xml:space="preserve">vs RIGHT WING</t>
  </si>
  <si>
    <t xml:space="preserve">vs CENTER</t>
  </si>
  <si>
    <t xml:space="preserve">vs DEFENSE</t>
  </si>
  <si>
    <t xml:space="preserve">OVERALL</t>
  </si>
  <si>
    <t xml:space="preserve">WCS SCOUTING (auto)</t>
  </si>
  <si>
    <t xml:space="preserve">Goalie</t>
  </si>
  <si>
    <t xml:space="preserve">Status</t>
  </si>
  <si>
    <t xml:space="preserve">Total SOG</t>
  </si>
  <si>
    <t xml:space="preserve">Fewest SOG (any pos)</t>
  </si>
  <si>
    <t xml:space="preserve">Sv%</t>
  </si>
  <si>
    <t xml:space="preserve">GSAx/100</t>
  </si>
  <si>
    <t xml:space="preserve">Weakest vs</t>
  </si>
  <si>
    <t xml:space="preserve">Strongest vs</t>
  </si>
  <si>
    <t xml:space="preserve">Scouting Note</t>
  </si>
  <si>
    <t xml:space="preserve">Avalanche</t>
  </si>
  <si>
    <t xml:space="preserve">Mackenzie Blackwood</t>
  </si>
  <si>
    <t xml:space="preserve">Likely</t>
  </si>
  <si>
    <t xml:space="preserve">Jets</t>
  </si>
  <si>
    <t xml:space="preserve">Stuart Skinner</t>
  </si>
  <si>
    <t xml:space="preserve">Unconfirmed</t>
  </si>
  <si>
    <t xml:space="preserve">Penguins</t>
  </si>
  <si>
    <t xml:space="preserve">Arturs Silovs</t>
  </si>
  <si>
    <t xml:space="preserve">Confirmed</t>
  </si>
  <si>
    <t xml:space="preserve">Capitals</t>
  </si>
  <si>
    <t xml:space="preserve">Logan Thompson</t>
  </si>
  <si>
    <t xml:space="preserve">Oilers</t>
  </si>
  <si>
    <t xml:space="preserve">Devon Levi</t>
  </si>
  <si>
    <t xml:space="preserve">Ducks</t>
  </si>
  <si>
    <t xml:space="preserve">Lukas Dostal</t>
  </si>
  <si>
    <t xml:space="preserve">WCS ANALYTICS — NHL LINE STATS  |  Source: Daily Faceoff DFS Line Stats (5v5)</t>
  </si>
  <si>
    <t xml:space="preserve">HOW TO UPDATE: paste tonight's Daily Faceoff Line Stats into the BLUE columns (A–R), one row per line, all 4 lines of a team together. Type each line's opponent in column B. Columns S–V calculate automatically.  GREEN = good, RED = bad, GOLD row = HIGH scoring chance.</t>
  </si>
  <si>
    <t xml:space="preserve">LINE</t>
  </si>
  <si>
    <t xml:space="preserve">OFFENCE  (higher = better)</t>
  </si>
  <si>
    <t xml:space="preserve">DEFENCE  (lower 'against' = better)</t>
  </si>
  <si>
    <t xml:space="preserve">SHARE %</t>
  </si>
  <si>
    <t xml:space="preserve">WCS SCORING MODEL (auto)</t>
  </si>
  <si>
    <t xml:space="preserve">TOI</t>
  </si>
  <si>
    <t xml:space="preserve">CF/60</t>
  </si>
  <si>
    <t xml:space="preserve">GF/60</t>
  </si>
  <si>
    <t xml:space="preserve">xGF/60</t>
  </si>
  <si>
    <t xml:space="preserve">SCF/60</t>
  </si>
  <si>
    <t xml:space="preserve">HDCF/60</t>
  </si>
  <si>
    <t xml:space="preserve">O-Score</t>
  </si>
  <si>
    <t xml:space="preserve">CA/60</t>
  </si>
  <si>
    <t xml:space="preserve">GA/60</t>
  </si>
  <si>
    <t xml:space="preserve">xGA/60</t>
  </si>
  <si>
    <t xml:space="preserve">SCA/60</t>
  </si>
  <si>
    <t xml:space="preserve">HDCA/60</t>
  </si>
  <si>
    <t xml:space="preserve">D-Score</t>
  </si>
  <si>
    <t xml:space="preserve">CF%</t>
  </si>
  <si>
    <t xml:space="preserve">xGF%</t>
  </si>
  <si>
    <t xml:space="preserve">Slate Rank</t>
  </si>
  <si>
    <t xml:space="preserve">Analysis / Comment</t>
  </si>
  <si>
    <t xml:space="preserve">TeamKey</t>
  </si>
  <si>
    <t xml:space="preserve">SortKey</t>
  </si>
  <si>
    <t xml:space="preserve">WtIdx</t>
  </si>
  <si>
    <t xml:space="preserve">WtTOI</t>
  </si>
  <si>
    <t xml:space="preserve">FL1</t>
  </si>
  <si>
    <t xml:space="preserve">FL2</t>
  </si>
  <si>
    <t xml:space="preserve">FL3</t>
  </si>
  <si>
    <t xml:space="preserve">FL4</t>
  </si>
  <si>
    <t xml:space="preserve">Model Settings</t>
  </si>
  <si>
    <t xml:space="preserve">Edit the blue values to tune the model. Everything else recalculates automatically.</t>
  </si>
  <si>
    <t xml:space="preserve">Setting</t>
  </si>
  <si>
    <t xml:space="preserve">Value</t>
  </si>
  <si>
    <t xml:space="preserve">What it does</t>
  </si>
  <si>
    <t xml:space="preserve">Weight: xGF/60</t>
  </si>
  <si>
    <t xml:space="preserve">Expected goals created — best predictor of future scoring</t>
  </si>
  <si>
    <t xml:space="preserve">Weight: HDCF/60</t>
  </si>
  <si>
    <t xml:space="preserve">High-danger chances (slot/crease)</t>
  </si>
  <si>
    <t xml:space="preserve">Weight: SCF/60</t>
  </si>
  <si>
    <t xml:space="preserve">All scoring chances</t>
  </si>
  <si>
    <t xml:space="preserve">Weight: CF/60</t>
  </si>
  <si>
    <t xml:space="preserve">Shot-attempt volume / possession</t>
  </si>
  <si>
    <t xml:space="preserve">Share: line's own offence</t>
  </si>
  <si>
    <t xml:space="preserve">How much of the Scoring Index comes from the line itself</t>
  </si>
  <si>
    <t xml:space="preserve">Share: opponent defensive weakness</t>
  </si>
  <si>
    <t xml:space="preserve">Based on opponent's average Daily Faceoff D-Score (lower D-Score = easier matchup)</t>
  </si>
  <si>
    <t xml:space="preserve">Tier cutoff: HIGH</t>
  </si>
  <si>
    <t xml:space="preserve">Scoring Index at or above this = HIGH (row highlighted gold)</t>
  </si>
  <si>
    <t xml:space="preserve">Tier cutoff: MEDIUM</t>
  </si>
  <si>
    <t xml:space="preserve">Scoring Index at or above this = MEDIUM</t>
  </si>
  <si>
    <t xml:space="preserve">Luck flag (GF/60 vs xGF/60 gap)</t>
  </si>
  <si>
    <t xml:space="preserve">Gap that triggers a 'running hot' or 'due for goals' note</t>
  </si>
  <si>
    <t xml:space="preserve">Check: offence weights total</t>
  </si>
  <si>
    <t xml:space="preserve">Check: shares total</t>
  </si>
  <si>
    <t xml:space="preserve">Caution: extreme xGF% cutoff</t>
  </si>
  <si>
    <t xml:space="preserve">xGF% at/above this (or at/below 1 minus this) = likely tiny sample → CAUTION, left out of Top 3</t>
  </si>
  <si>
    <t xml:space="preserve">Caution: extreme CF% cutoff</t>
  </si>
  <si>
    <t xml:space="preserve">CF% at/above this (or at/below 1 minus this) = likely tiny sample → CAUTION</t>
  </si>
  <si>
    <t xml:space="preserve">Goalies: min shots on goal per position</t>
  </si>
  <si>
    <t xml:space="preserve">If a goalie faced fewer shots than this from any position, his splits are flagged SMALL SAMPLE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</si>
</sst>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@"/>
    <numFmt numFmtId="167" formatCode="0"/>
    <numFmt numFmtId="168" formatCode="0.000"/>
    <numFmt numFmtId="169" formatCode="\+0.00;\-0.00;0.00"/>
    <numFmt numFmtId="170" formatCode="0.0%"/>
    <numFmt numFmtId="171" formatCode="General"/>
    <numFmt numFmtId="172" formatCode="0.00"/>
    <numFmt numFmtId="173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444444"/>
      <name val="Arial"/>
      <family val="0"/>
      <charset val="1"/>
    </font>
    <font>
      <i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2E3B5E"/>
      </patternFill>
    </fill>
    <fill>
      <patternFill patternType="solid">
        <fgColor rgb="FFB8860B"/>
        <bgColor rgb="FFFF9900"/>
      </patternFill>
    </fill>
    <fill>
      <patternFill patternType="solid">
        <fgColor rgb="FF2E3B5E"/>
        <bgColor rgb="FF444444"/>
      </patternFill>
    </fill>
    <fill>
      <patternFill patternType="solid">
        <fgColor rgb="FF4B4B8F"/>
        <bgColor rgb="FF444444"/>
      </patternFill>
    </fill>
    <fill>
      <patternFill patternType="solid">
        <fgColor rgb="FF1E6B3A"/>
        <bgColor rgb="FF006100"/>
      </patternFill>
    </fill>
    <fill>
      <patternFill patternType="solid">
        <fgColor rgb="FF8B1E1E"/>
        <bgColor rgb="FF800000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FC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FFC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4B183"/>
        </patternFill>
      </fill>
    </dxf>
    <dxf>
      <font>
        <name val="Arial"/>
        <charset val="1"/>
        <family val="0"/>
        <i val="1"/>
        <color rgb="FF999999"/>
      </font>
    </dxf>
    <dxf>
      <fill>
        <patternFill>
          <bgColor rgb="FFFBE5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8860B"/>
      <rgbColor rgb="FF800080"/>
      <rgbColor rgb="FF1E6B3A"/>
      <rgbColor rgb="FFBFBFBF"/>
      <rgbColor rgb="FF808080"/>
      <rgbColor rgb="FF9999FF"/>
      <rgbColor rgb="FF993366"/>
      <rgbColor rgb="FFFFF2CC"/>
      <rgbColor rgb="FFFBE5D6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8CBAD"/>
      <rgbColor rgb="FF4B4B8F"/>
      <rgbColor rgb="FF33CCCC"/>
      <rgbColor rgb="FF99CC00"/>
      <rgbColor rgb="FFFFC000"/>
      <rgbColor rgb="FFFF9900"/>
      <rgbColor rgb="FFFF6600"/>
      <rgbColor rgb="FF666666"/>
      <rgbColor rgb="FF999999"/>
      <rgbColor rgb="FF003366"/>
      <rgbColor rgb="FF339966"/>
      <rgbColor rgb="FF003300"/>
      <rgbColor rgb="FF444444"/>
      <rgbColor rgb="FF8B1E1E"/>
      <rgbColor rgb="FF993366"/>
      <rgbColor rgb="FF2E3B5E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4" min="2" style="1" width="1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5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tr">
        <f aca="false">"Slate: "&amp;TEXT('Line Stats'!B3,"@")&amp;"   |   Updates automatically from the Line Stats tab   |   GOLD = HIGH scoring chance"</f>
        <v>Slate: 46302   |   Updates automatically from the Line Stats tab   |   GOLD = HIGH scoring chance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</row>
    <row r="5" customFormat="false" ht="26.2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/>
      <c r="I5" s="5"/>
    </row>
    <row r="6" customFormat="false" ht="42" hidden="false" customHeight="true" outlineLevel="0" collapsed="false">
      <c r="A6" s="6" t="n">
        <v>1</v>
      </c>
      <c r="B6" s="7" t="str">
        <f aca="false">IFERROR(INDEX('Line Stats'!$A$6:$A$69,MATCH(LARGE('Line Stats'!$X$6:$X$69,1),'Line Stats'!$X$6:$X$69,0)),"")</f>
        <v>Avalanche</v>
      </c>
      <c r="C6" s="7" t="str">
        <f aca="false">IFERROR(INDEX('Line Stats'!$C$6:$C$69,MATCH(LARGE('Line Stats'!$X$6:$X$69,1),'Line Stats'!$X$6:$X$69,0)),"")</f>
        <v>FL1</v>
      </c>
      <c r="D6" s="6" t="str">
        <f aca="false">IFERROR(INDEX('Line Stats'!$B$6:$B$69,MATCH(LARGE('Line Stats'!$X$6:$X$69,1),'Line Stats'!$X$6:$X$69,0)),"")</f>
        <v>Jets</v>
      </c>
      <c r="E6" s="8" t="n">
        <f aca="false">IFERROR(INDEX('Line Stats'!$S$6:$S$69,MATCH(LARGE('Line Stats'!$X$6:$X$69,1),'Line Stats'!$X$6:$X$69,0)),"")</f>
        <v>87.8</v>
      </c>
      <c r="F6" s="6" t="str">
        <f aca="false">IFERROR(INDEX('Line Stats'!$T$6:$T$69,MATCH(LARGE('Line Stats'!$X$6:$X$69,1),'Line Stats'!$X$6:$X$69,0)),"")</f>
        <v>HIGH</v>
      </c>
      <c r="G6" s="9" t="str">
        <f aca="false">IFERROR(INDEX('Line Stats'!$V$6:$V$69,MATCH(LARGE('Line Stats'!$X$6:$X$69,1),'Line Stats'!$X$6:$X$69,0)),"")</f>
        <v>HIGH scoring chance. Finishing above its xG — regression risk. Faces Jets (opp avg D-Score 21).</v>
      </c>
      <c r="H6" s="9"/>
      <c r="I6" s="9"/>
    </row>
    <row r="7" customFormat="false" ht="42" hidden="false" customHeight="true" outlineLevel="0" collapsed="false">
      <c r="A7" s="6" t="n">
        <v>2</v>
      </c>
      <c r="B7" s="7" t="str">
        <f aca="false">IFERROR(INDEX('Line Stats'!$A$6:$A$69,MATCH(LARGE('Line Stats'!$X$6:$X$69,2),'Line Stats'!$X$6:$X$69,0)),"")</f>
        <v>Avalanche</v>
      </c>
      <c r="C7" s="7" t="str">
        <f aca="false">IFERROR(INDEX('Line Stats'!$C$6:$C$69,MATCH(LARGE('Line Stats'!$X$6:$X$69,2),'Line Stats'!$X$6:$X$69,0)),"")</f>
        <v>FL3</v>
      </c>
      <c r="D7" s="6" t="str">
        <f aca="false">IFERROR(INDEX('Line Stats'!$B$6:$B$69,MATCH(LARGE('Line Stats'!$X$6:$X$69,2),'Line Stats'!$X$6:$X$69,0)),"")</f>
        <v>Jets</v>
      </c>
      <c r="E7" s="8" t="n">
        <f aca="false">IFERROR(INDEX('Line Stats'!$S$6:$S$69,MATCH(LARGE('Line Stats'!$X$6:$X$69,2),'Line Stats'!$X$6:$X$69,0)),"")</f>
        <v>71.8</v>
      </c>
      <c r="F7" s="6" t="str">
        <f aca="false">IFERROR(INDEX('Line Stats'!$T$6:$T$69,MATCH(LARGE('Line Stats'!$X$6:$X$69,2),'Line Stats'!$X$6:$X$69,0)),"")</f>
        <v>HIGH</v>
      </c>
      <c r="G7" s="9" t="str">
        <f aca="false">IFERROR(INDEX('Line Stats'!$V$6:$V$69,MATCH(LARGE('Line Stats'!$X$6:$X$69,2),'Line Stats'!$X$6:$X$69,0)),"")</f>
        <v>HIGH scoring chance. Goals in line with chances. Faces Jets (opp avg D-Score 21).</v>
      </c>
      <c r="H7" s="9"/>
      <c r="I7" s="9"/>
    </row>
    <row r="8" customFormat="false" ht="42" hidden="false" customHeight="true" outlineLevel="0" collapsed="false">
      <c r="A8" s="6" t="n">
        <v>3</v>
      </c>
      <c r="B8" s="7" t="str">
        <f aca="false">IFERROR(INDEX('Line Stats'!$A$6:$A$69,MATCH(LARGE('Line Stats'!$X$6:$X$69,3),'Line Stats'!$X$6:$X$69,0)),"")</f>
        <v>Penguins</v>
      </c>
      <c r="C8" s="7" t="str">
        <f aca="false">IFERROR(INDEX('Line Stats'!$C$6:$C$69,MATCH(LARGE('Line Stats'!$X$6:$X$69,3),'Line Stats'!$X$6:$X$69,0)),"")</f>
        <v>FL2</v>
      </c>
      <c r="D8" s="6" t="str">
        <f aca="false">IFERROR(INDEX('Line Stats'!$B$6:$B$69,MATCH(LARGE('Line Stats'!$X$6:$X$69,3),'Line Stats'!$X$6:$X$69,0)),"")</f>
        <v>Capitals</v>
      </c>
      <c r="E8" s="8" t="n">
        <f aca="false">IFERROR(INDEX('Line Stats'!$S$6:$S$69,MATCH(LARGE('Line Stats'!$X$6:$X$69,3),'Line Stats'!$X$6:$X$69,0)),"")</f>
        <v>71.8</v>
      </c>
      <c r="F8" s="6" t="str">
        <f aca="false">IFERROR(INDEX('Line Stats'!$T$6:$T$69,MATCH(LARGE('Line Stats'!$X$6:$X$69,3),'Line Stats'!$X$6:$X$69,0)),"")</f>
        <v>HIGH</v>
      </c>
      <c r="G8" s="9" t="str">
        <f aca="false">IFERROR(INDEX('Line Stats'!$V$6:$V$69,MATCH(LARGE('Line Stats'!$X$6:$X$69,3),'Line Stats'!$X$6:$X$69,0)),"")</f>
        <v>HIGH scoring chance. Goals in line with chances. Top-3 high-danger creator on the slate. Faces Capitals (opp avg D-Score 52).</v>
      </c>
      <c r="H8" s="9"/>
      <c r="I8" s="9"/>
    </row>
    <row r="11" customFormat="false" ht="15" hidden="false" customHeight="true" outlineLevel="0" collapsed="false">
      <c r="A11" s="10" t="s">
        <v>9</v>
      </c>
      <c r="B11" s="10"/>
      <c r="C11" s="10"/>
      <c r="D11" s="10"/>
      <c r="E11" s="10"/>
      <c r="F11" s="10"/>
      <c r="G11" s="10"/>
      <c r="H11" s="10"/>
      <c r="I11" s="10"/>
    </row>
    <row r="12" customFormat="false" ht="39" hidden="false" customHeight="true" outlineLevel="0" collapsed="false">
      <c r="A12" s="5" t="s">
        <v>2</v>
      </c>
      <c r="B12" s="5" t="s">
        <v>3</v>
      </c>
      <c r="C12" s="5" t="s">
        <v>5</v>
      </c>
      <c r="D12" s="5" t="s">
        <v>10</v>
      </c>
      <c r="E12" s="5" t="s">
        <v>11</v>
      </c>
      <c r="F12" s="5" t="s">
        <v>12</v>
      </c>
      <c r="G12" s="5" t="s">
        <v>13</v>
      </c>
      <c r="H12" s="5" t="s">
        <v>14</v>
      </c>
      <c r="I12" s="5" t="s">
        <v>15</v>
      </c>
    </row>
    <row r="13" customFormat="false" ht="15" hidden="false" customHeight="true" outlineLevel="0" collapsed="false">
      <c r="A13" s="6" t="n">
        <v>1</v>
      </c>
      <c r="B13" s="7" t="str">
        <f aca="false">IFERROR(INDEX('Line Stats'!$A$6:$A$69,MATCH(A13,'Line Stats'!$W$6:$W$69,0)),"")</f>
        <v>Capitals</v>
      </c>
      <c r="C13" s="6" t="str">
        <f aca="false">IF(B13="","",INDEX('Line Stats'!$B$6:$B$69,MATCH(B13,'Line Stats'!$A$6:$A$69,0)))</f>
        <v>Penguins</v>
      </c>
      <c r="D13" s="8" t="n">
        <f aca="false">IF(B13="","",IFERROR(ROUND(SUMIF('Line Stats'!$A$6:$A$69,B13,'Line Stats'!$Y$6:$Y$69)/SUMIF('Line Stats'!$A$6:$A$69,B13,'Line Stats'!$Z$6:$Z$69),1),""))</f>
        <v>43.8</v>
      </c>
      <c r="E13" s="11" t="n">
        <f aca="false">IF(B13="","",ROUND(AVERAGEIF('Line Stats'!$A$6:$A$69,B13,'Line Stats'!$J$6:$J$69),1))</f>
        <v>40.6</v>
      </c>
      <c r="F13" s="11" t="n">
        <f aca="false">IF(B13="","",IFERROR(ROUND(AVERAGEIF('Line Stats'!$A$6:$A$69,C13,'Line Stats'!$P$6:$P$69),1),""))</f>
        <v>44.8</v>
      </c>
      <c r="G13" s="7" t="str">
        <f aca="false">IF(B13="","",IFERROR(INDEX('Line Stats'!$C$6:$C$69,MATCH(_xlfn.MAXIFS('Line Stats'!$X$6:$X$69,'Line Stats'!$A$6:$A$69,B13),'Line Stats'!$X$6:$X$69,0)),""))</f>
        <v>FL2</v>
      </c>
      <c r="H13" s="11" t="n">
        <f aca="false">IF(B13="","",IFERROR(INDEX('Line Stats'!$S$6:$S$69,MATCH(_xlfn.MAXIFS('Line Stats'!$X$6:$X$69,'Line Stats'!$A$6:$A$69,B13),'Line Stats'!$X$6:$X$69,0)),""))</f>
        <v>66.3</v>
      </c>
      <c r="I13" s="9" t="str">
        <f aca="false">IF(B13="","",IF(D13="","No usable data",IF(D13&gt;=Settings!$B$11,"HIGH — strong scoring spot. Lean team total over / stack "&amp;G13&amp;".",IF(D13&gt;=Settings!$B$12,"MEDIUM — playable; focus on "&amp;G13&amp;".","LOW — tough scoring night."))))</f>
        <v>LOW — tough scoring night.</v>
      </c>
    </row>
    <row r="14" customFormat="false" ht="26.25" hidden="false" customHeight="true" outlineLevel="0" collapsed="false">
      <c r="A14" s="6" t="n">
        <v>2</v>
      </c>
      <c r="B14" s="7" t="str">
        <f aca="false">IFERROR(INDEX('Line Stats'!$A$6:$A$69,MATCH(A14,'Line Stats'!$W$6:$W$69,0)),"")</f>
        <v>Penguins</v>
      </c>
      <c r="C14" s="6" t="str">
        <f aca="false">IF(B14="","",INDEX('Line Stats'!$B$6:$B$69,MATCH(B14,'Line Stats'!$A$6:$A$69,0)))</f>
        <v>Capitals</v>
      </c>
      <c r="D14" s="8" t="n">
        <f aca="false">IF(B14="","",IFERROR(ROUND(SUMIF('Line Stats'!$A$6:$A$69,B14,'Line Stats'!$Y$6:$Y$69)/SUMIF('Line Stats'!$A$6:$A$69,B14,'Line Stats'!$Z$6:$Z$69),1),""))</f>
        <v>62</v>
      </c>
      <c r="E14" s="11" t="n">
        <f aca="false">IF(B14="","",ROUND(AVERAGEIF('Line Stats'!$A$6:$A$69,B14,'Line Stats'!$J$6:$J$69),1))</f>
        <v>60.4</v>
      </c>
      <c r="F14" s="11" t="n">
        <f aca="false">IF(B14="","",IFERROR(ROUND(AVERAGEIF('Line Stats'!$A$6:$A$69,C14,'Line Stats'!$P$6:$P$69),1),""))</f>
        <v>52.1</v>
      </c>
      <c r="G14" s="7" t="str">
        <f aca="false">IF(B14="","",IFERROR(INDEX('Line Stats'!$C$6:$C$69,MATCH(_xlfn.MAXIFS('Line Stats'!$X$6:$X$69,'Line Stats'!$A$6:$A$69,B14),'Line Stats'!$X$6:$X$69,0)),""))</f>
        <v>FL2</v>
      </c>
      <c r="H14" s="11" t="n">
        <f aca="false">IF(B14="","",IFERROR(INDEX('Line Stats'!$S$6:$S$69,MATCH(_xlfn.MAXIFS('Line Stats'!$X$6:$X$69,'Line Stats'!$A$6:$A$69,B14),'Line Stats'!$X$6:$X$69,0)),""))</f>
        <v>71.8</v>
      </c>
      <c r="I14" s="9" t="str">
        <f aca="false">IF(B14="","",IF(D14="","No usable data",IF(D14&gt;=Settings!$B$11,"HIGH — strong scoring spot. Lean team total over / stack "&amp;G14&amp;".",IF(D14&gt;=Settings!$B$12,"MEDIUM — playable; focus on "&amp;G14&amp;".","LOW — tough scoring night."))))</f>
        <v>HIGH — strong scoring spot. Lean team total over / stack FL2.</v>
      </c>
    </row>
    <row r="15" customFormat="false" ht="15" hidden="false" customHeight="true" outlineLevel="0" collapsed="false">
      <c r="A15" s="6" t="n">
        <v>3</v>
      </c>
      <c r="B15" s="7" t="str">
        <f aca="false">IFERROR(INDEX('Line Stats'!$A$6:$A$69,MATCH(A15,'Line Stats'!$W$6:$W$69,0)),"")</f>
        <v>Ducks</v>
      </c>
      <c r="C15" s="6" t="str">
        <f aca="false">IF(B15="","",INDEX('Line Stats'!$B$6:$B$69,MATCH(B15,'Line Stats'!$A$6:$A$69,0)))</f>
        <v>Oilers</v>
      </c>
      <c r="D15" s="8" t="n">
        <f aca="false">IF(B15="","",IFERROR(ROUND(SUMIF('Line Stats'!$A$6:$A$69,B15,'Line Stats'!$Y$6:$Y$69)/SUMIF('Line Stats'!$A$6:$A$69,B15,'Line Stats'!$Z$6:$Z$69),1),""))</f>
        <v>35.5</v>
      </c>
      <c r="E15" s="11" t="n">
        <f aca="false">IF(B15="","",ROUND(AVERAGEIF('Line Stats'!$A$6:$A$69,B15,'Line Stats'!$J$6:$J$69),1))</f>
        <v>39.6</v>
      </c>
      <c r="F15" s="11" t="n">
        <f aca="false">IF(B15="","",IFERROR(ROUND(AVERAGEIF('Line Stats'!$A$6:$A$69,C15,'Line Stats'!$P$6:$P$69),1),""))</f>
        <v>75</v>
      </c>
      <c r="G15" s="7" t="str">
        <f aca="false">IF(B15="","",IFERROR(INDEX('Line Stats'!$C$6:$C$69,MATCH(_xlfn.MAXIFS('Line Stats'!$X$6:$X$69,'Line Stats'!$A$6:$A$69,B15),'Line Stats'!$X$6:$X$69,0)),""))</f>
        <v>FL2</v>
      </c>
      <c r="H15" s="11" t="n">
        <f aca="false">IF(B15="","",IFERROR(INDEX('Line Stats'!$S$6:$S$69,MATCH(_xlfn.MAXIFS('Line Stats'!$X$6:$X$69,'Line Stats'!$A$6:$A$69,B15),'Line Stats'!$X$6:$X$69,0)),""))</f>
        <v>48</v>
      </c>
      <c r="I15" s="9" t="str">
        <f aca="false">IF(B15="","",IF(D15="","No usable data",IF(D15&gt;=Settings!$B$11,"HIGH — strong scoring spot. Lean team total over / stack "&amp;G15&amp;".",IF(D15&gt;=Settings!$B$12,"MEDIUM — playable; focus on "&amp;G15&amp;".","LOW — tough scoring night."))))</f>
        <v>LOW — tough scoring night.</v>
      </c>
    </row>
    <row r="16" customFormat="false" ht="15" hidden="false" customHeight="true" outlineLevel="0" collapsed="false">
      <c r="A16" s="6" t="n">
        <v>4</v>
      </c>
      <c r="B16" s="7" t="str">
        <f aca="false">IFERROR(INDEX('Line Stats'!$A$6:$A$69,MATCH(A16,'Line Stats'!$W$6:$W$69,0)),"")</f>
        <v>Oilers</v>
      </c>
      <c r="C16" s="6" t="str">
        <f aca="false">IF(B16="","",INDEX('Line Stats'!$B$6:$B$69,MATCH(B16,'Line Stats'!$A$6:$A$69,0)))</f>
        <v>Ducks</v>
      </c>
      <c r="D16" s="8" t="n">
        <f aca="false">IF(B16="","",IFERROR(ROUND(SUMIF('Line Stats'!$A$6:$A$69,B16,'Line Stats'!$Y$6:$Y$69)/SUMIF('Line Stats'!$A$6:$A$69,B16,'Line Stats'!$Z$6:$Z$69),1),""))</f>
        <v>48.5</v>
      </c>
      <c r="E16" s="11" t="n">
        <f aca="false">IF(B16="","",ROUND(AVERAGEIF('Line Stats'!$A$6:$A$69,B16,'Line Stats'!$J$6:$J$69),1))</f>
        <v>60.4</v>
      </c>
      <c r="F16" s="11" t="n">
        <f aca="false">IF(B16="","",IFERROR(ROUND(AVERAGEIF('Line Stats'!$A$6:$A$69,C16,'Line Stats'!$P$6:$P$69),1),""))</f>
        <v>60.4</v>
      </c>
      <c r="G16" s="7" t="str">
        <f aca="false">IF(B16="","",IFERROR(INDEX('Line Stats'!$C$6:$C$69,MATCH(_xlfn.MAXIFS('Line Stats'!$X$6:$X$69,'Line Stats'!$A$6:$A$69,B16),'Line Stats'!$X$6:$X$69,0)),""))</f>
        <v>FL1</v>
      </c>
      <c r="H16" s="11" t="n">
        <f aca="false">IF(B16="","",IFERROR(INDEX('Line Stats'!$S$6:$S$69,MATCH(_xlfn.MAXIFS('Line Stats'!$X$6:$X$69,'Line Stats'!$A$6:$A$69,B16),'Line Stats'!$X$6:$X$69,0)),""))</f>
        <v>57.5</v>
      </c>
      <c r="I16" s="9" t="str">
        <f aca="false">IF(B16="","",IF(D16="","No usable data",IF(D16&gt;=Settings!$B$11,"HIGH — strong scoring spot. Lean team total over / stack "&amp;G16&amp;".",IF(D16&gt;=Settings!$B$12,"MEDIUM — playable; focus on "&amp;G16&amp;".","LOW — tough scoring night."))))</f>
        <v>MEDIUM — playable; focus on FL1.</v>
      </c>
    </row>
    <row r="17" customFormat="false" ht="15" hidden="false" customHeight="true" outlineLevel="0" collapsed="false">
      <c r="A17" s="6" t="n">
        <v>5</v>
      </c>
      <c r="B17" s="7" t="str">
        <f aca="false">IFERROR(INDEX('Line Stats'!$A$6:$A$69,MATCH(A17,'Line Stats'!$W$6:$W$69,0)),"")</f>
        <v>Jets</v>
      </c>
      <c r="C17" s="6" t="str">
        <f aca="false">IF(B17="","",INDEX('Line Stats'!$B$6:$B$69,MATCH(B17,'Line Stats'!$A$6:$A$69,0)))</f>
        <v>Avalanche</v>
      </c>
      <c r="D17" s="8" t="n">
        <f aca="false">IF(B17="","",IFERROR(ROUND(SUMIF('Line Stats'!$A$6:$A$69,B17,'Line Stats'!$Y$6:$Y$69)/SUMIF('Line Stats'!$A$6:$A$69,B17,'Line Stats'!$Z$6:$Z$69),1),""))</f>
        <v>56.6</v>
      </c>
      <c r="E17" s="11" t="n">
        <f aca="false">IF(B17="","",ROUND(AVERAGEIF('Line Stats'!$A$6:$A$69,B17,'Line Stats'!$J$6:$J$69),1))</f>
        <v>39.6</v>
      </c>
      <c r="F17" s="11" t="n">
        <f aca="false">IF(B17="","",IFERROR(ROUND(AVERAGEIF('Line Stats'!$A$6:$A$69,C17,'Line Stats'!$P$6:$P$69),1),""))</f>
        <v>59.4</v>
      </c>
      <c r="G17" s="7" t="str">
        <f aca="false">IF(B17="","",IFERROR(INDEX('Line Stats'!$C$6:$C$69,MATCH(_xlfn.MAXIFS('Line Stats'!$X$6:$X$69,'Line Stats'!$A$6:$A$69,B17),'Line Stats'!$X$6:$X$69,0)),""))</f>
        <v>FL1</v>
      </c>
      <c r="H17" s="11" t="n">
        <f aca="false">IF(B17="","",IFERROR(INDEX('Line Stats'!$S$6:$S$69,MATCH(_xlfn.MAXIFS('Line Stats'!$X$6:$X$69,'Line Stats'!$A$6:$A$69,B17),'Line Stats'!$X$6:$X$69,0)),""))</f>
        <v>60.9</v>
      </c>
      <c r="I17" s="9" t="str">
        <f aca="false">IF(B17="","",IF(D17="","No usable data",IF(D17&gt;=Settings!$B$11,"HIGH — strong scoring spot. Lean team total over / stack "&amp;G17&amp;".",IF(D17&gt;=Settings!$B$12,"MEDIUM — playable; focus on "&amp;G17&amp;".","LOW — tough scoring night."))))</f>
        <v>MEDIUM — playable; focus on FL1.</v>
      </c>
    </row>
    <row r="18" customFormat="false" ht="15" hidden="false" customHeight="true" outlineLevel="0" collapsed="false">
      <c r="A18" s="6" t="n">
        <v>6</v>
      </c>
      <c r="B18" s="7" t="str">
        <f aca="false">IFERROR(INDEX('Line Stats'!$A$6:$A$69,MATCH(A18,'Line Stats'!$W$6:$W$69,0)),"")</f>
        <v>Avalanche</v>
      </c>
      <c r="C18" s="6" t="str">
        <f aca="false">IF(B18="","",INDEX('Line Stats'!$B$6:$B$69,MATCH(B18,'Line Stats'!$A$6:$A$69,0)))</f>
        <v>Jets</v>
      </c>
      <c r="D18" s="8" t="n">
        <f aca="false">IF(B18="","",IFERROR(ROUND(SUMIF('Line Stats'!$A$6:$A$69,B18,'Line Stats'!$Y$6:$Y$69)/SUMIF('Line Stats'!$A$6:$A$69,B18,'Line Stats'!$Z$6:$Z$69),1),""))</f>
        <v>78.1</v>
      </c>
      <c r="E18" s="11" t="n">
        <f aca="false">IF(B18="","",ROUND(AVERAGEIF('Line Stats'!$A$6:$A$69,B18,'Line Stats'!$J$6:$J$69),1))</f>
        <v>71.9</v>
      </c>
      <c r="F18" s="11" t="n">
        <f aca="false">IF(B18="","",IFERROR(ROUND(AVERAGEIF('Line Stats'!$A$6:$A$69,C18,'Line Stats'!$P$6:$P$69),1),""))</f>
        <v>20.8</v>
      </c>
      <c r="G18" s="7" t="str">
        <f aca="false">IF(B18="","",IFERROR(INDEX('Line Stats'!$C$6:$C$69,MATCH(_xlfn.MAXIFS('Line Stats'!$X$6:$X$69,'Line Stats'!$A$6:$A$69,B18),'Line Stats'!$X$6:$X$69,0)),""))</f>
        <v>FL1</v>
      </c>
      <c r="H18" s="11" t="n">
        <f aca="false">IF(B18="","",IFERROR(INDEX('Line Stats'!$S$6:$S$69,MATCH(_xlfn.MAXIFS('Line Stats'!$X$6:$X$69,'Line Stats'!$A$6:$A$69,B18),'Line Stats'!$X$6:$X$69,0)),""))</f>
        <v>87.8</v>
      </c>
      <c r="I18" s="9" t="str">
        <f aca="false">IF(B18="","",IF(D18="","No usable data",IF(D18&gt;=Settings!$B$11,"HIGH — strong scoring spot. Lean team total over / stack "&amp;G18&amp;".",IF(D18&gt;=Settings!$B$12,"MEDIUM — playable; focus on "&amp;G18&amp;".","LOW — tough scoring night."))))</f>
        <v>HIGH — strong scoring spot. Lean team total over / stack FL1.</v>
      </c>
    </row>
    <row r="19" customFormat="false" ht="15" hidden="false" customHeight="true" outlineLevel="0" collapsed="false">
      <c r="A19" s="6" t="n">
        <v>7</v>
      </c>
      <c r="B19" s="7" t="str">
        <f aca="false">IFERROR(INDEX('Line Stats'!$A$6:$A$69,MATCH(A19,'Line Stats'!$W$6:$W$69,0)),"")</f>
        <v/>
      </c>
      <c r="C19" s="6" t="str">
        <f aca="false">IF(B19="","",INDEX('Line Stats'!$B$6:$B$69,MATCH(B19,'Line Stats'!$A$6:$A$69,0)))</f>
        <v/>
      </c>
      <c r="D19" s="8" t="str">
        <f aca="false">IF(B19="","",IFERROR(ROUND(SUMIF('Line Stats'!$A$6:$A$69,B19,'Line Stats'!$Y$6:$Y$69)/SUMIF('Line Stats'!$A$6:$A$69,B19,'Line Stats'!$Z$6:$Z$69),1),""))</f>
        <v/>
      </c>
      <c r="E19" s="11" t="str">
        <f aca="false">IF(B19="","",ROUND(AVERAGEIF('Line Stats'!$A$6:$A$69,B19,'Line Stats'!$J$6:$J$69),1))</f>
        <v/>
      </c>
      <c r="F19" s="11" t="str">
        <f aca="false">IF(B19="","",IFERROR(ROUND(AVERAGEIF('Line Stats'!$A$6:$A$69,C19,'Line Stats'!$P$6:$P$69),1),""))</f>
        <v/>
      </c>
      <c r="G19" s="7" t="str">
        <f aca="false">IF(B19="","",IFERROR(INDEX('Line Stats'!$C$6:$C$69,MATCH(_xlfn.MAXIFS('Line Stats'!$X$6:$X$69,'Line Stats'!$A$6:$A$69,B19),'Line Stats'!$X$6:$X$69,0)),""))</f>
        <v/>
      </c>
      <c r="H19" s="11" t="str">
        <f aca="false">IF(B19="","",IFERROR(INDEX('Line Stats'!$S$6:$S$69,MATCH(_xlfn.MAXIFS('Line Stats'!$X$6:$X$69,'Line Stats'!$A$6:$A$69,B19),'Line Stats'!$X$6:$X$69,0)),""))</f>
        <v/>
      </c>
      <c r="I19" s="9" t="str">
        <f aca="false">IF(B19="","",IF(D19="","No usable data",IF(D19&gt;=Settings!$B$11,"HIGH — strong scoring spot. Lean team total over / stack "&amp;G19&amp;".",IF(D19&gt;=Settings!$B$12,"MEDIUM — playable; focus on "&amp;G19&amp;".","LOW — tough scoring night."))))</f>
        <v/>
      </c>
    </row>
    <row r="20" customFormat="false" ht="15" hidden="false" customHeight="true" outlineLevel="0" collapsed="false">
      <c r="A20" s="6" t="n">
        <v>8</v>
      </c>
      <c r="B20" s="7" t="str">
        <f aca="false">IFERROR(INDEX('Line Stats'!$A$6:$A$69,MATCH(A20,'Line Stats'!$W$6:$W$69,0)),"")</f>
        <v/>
      </c>
      <c r="C20" s="6" t="str">
        <f aca="false">IF(B20="","",INDEX('Line Stats'!$B$6:$B$69,MATCH(B20,'Line Stats'!$A$6:$A$69,0)))</f>
        <v/>
      </c>
      <c r="D20" s="8" t="str">
        <f aca="false">IF(B20="","",IFERROR(ROUND(SUMIF('Line Stats'!$A$6:$A$69,B20,'Line Stats'!$Y$6:$Y$69)/SUMIF('Line Stats'!$A$6:$A$69,B20,'Line Stats'!$Z$6:$Z$69),1),""))</f>
        <v/>
      </c>
      <c r="E20" s="11" t="str">
        <f aca="false">IF(B20="","",ROUND(AVERAGEIF('Line Stats'!$A$6:$A$69,B20,'Line Stats'!$J$6:$J$69),1))</f>
        <v/>
      </c>
      <c r="F20" s="11" t="str">
        <f aca="false">IF(B20="","",IFERROR(ROUND(AVERAGEIF('Line Stats'!$A$6:$A$69,C20,'Line Stats'!$P$6:$P$69),1),""))</f>
        <v/>
      </c>
      <c r="G20" s="7" t="str">
        <f aca="false">IF(B20="","",IFERROR(INDEX('Line Stats'!$C$6:$C$69,MATCH(_xlfn.MAXIFS('Line Stats'!$X$6:$X$69,'Line Stats'!$A$6:$A$69,B20),'Line Stats'!$X$6:$X$69,0)),""))</f>
        <v/>
      </c>
      <c r="H20" s="11" t="str">
        <f aca="false">IF(B20="","",IFERROR(INDEX('Line Stats'!$S$6:$S$69,MATCH(_xlfn.MAXIFS('Line Stats'!$X$6:$X$69,'Line Stats'!$A$6:$A$69,B20),'Line Stats'!$X$6:$X$69,0)),""))</f>
        <v/>
      </c>
      <c r="I20" s="9" t="str">
        <f aca="false">IF(B20="","",IF(D20="","No usable data",IF(D20&gt;=Settings!$B$11,"HIGH — strong scoring spot. Lean team total over / stack "&amp;G20&amp;".",IF(D20&gt;=Settings!$B$12,"MEDIUM — playable; focus on "&amp;G20&amp;".","LOW — tough scoring night."))))</f>
        <v/>
      </c>
    </row>
    <row r="21" customFormat="false" ht="15" hidden="false" customHeight="true" outlineLevel="0" collapsed="false">
      <c r="A21" s="6" t="n">
        <v>9</v>
      </c>
      <c r="B21" s="7" t="str">
        <f aca="false">IFERROR(INDEX('Line Stats'!$A$6:$A$69,MATCH(A21,'Line Stats'!$W$6:$W$69,0)),"")</f>
        <v/>
      </c>
      <c r="C21" s="6" t="str">
        <f aca="false">IF(B21="","",INDEX('Line Stats'!$B$6:$B$69,MATCH(B21,'Line Stats'!$A$6:$A$69,0)))</f>
        <v/>
      </c>
      <c r="D21" s="8" t="str">
        <f aca="false">IF(B21="","",IFERROR(ROUND(SUMIF('Line Stats'!$A$6:$A$69,B21,'Line Stats'!$Y$6:$Y$69)/SUMIF('Line Stats'!$A$6:$A$69,B21,'Line Stats'!$Z$6:$Z$69),1),""))</f>
        <v/>
      </c>
      <c r="E21" s="11" t="str">
        <f aca="false">IF(B21="","",ROUND(AVERAGEIF('Line Stats'!$A$6:$A$69,B21,'Line Stats'!$J$6:$J$69),1))</f>
        <v/>
      </c>
      <c r="F21" s="11" t="str">
        <f aca="false">IF(B21="","",IFERROR(ROUND(AVERAGEIF('Line Stats'!$A$6:$A$69,C21,'Line Stats'!$P$6:$P$69),1),""))</f>
        <v/>
      </c>
      <c r="G21" s="7" t="str">
        <f aca="false">IF(B21="","",IFERROR(INDEX('Line Stats'!$C$6:$C$69,MATCH(_xlfn.MAXIFS('Line Stats'!$X$6:$X$69,'Line Stats'!$A$6:$A$69,B21),'Line Stats'!$X$6:$X$69,0)),""))</f>
        <v/>
      </c>
      <c r="H21" s="11" t="str">
        <f aca="false">IF(B21="","",IFERROR(INDEX('Line Stats'!$S$6:$S$69,MATCH(_xlfn.MAXIFS('Line Stats'!$X$6:$X$69,'Line Stats'!$A$6:$A$69,B21),'Line Stats'!$X$6:$X$69,0)),""))</f>
        <v/>
      </c>
      <c r="I21" s="9" t="str">
        <f aca="false">IF(B21="","",IF(D21="","No usable data",IF(D21&gt;=Settings!$B$11,"HIGH — strong scoring spot. Lean team total over / stack "&amp;G21&amp;".",IF(D21&gt;=Settings!$B$12,"MEDIUM — playable; focus on "&amp;G21&amp;".","LOW — tough scoring night."))))</f>
        <v/>
      </c>
    </row>
    <row r="22" customFormat="false" ht="15" hidden="false" customHeight="true" outlineLevel="0" collapsed="false">
      <c r="A22" s="6" t="n">
        <v>10</v>
      </c>
      <c r="B22" s="7" t="str">
        <f aca="false">IFERROR(INDEX('Line Stats'!$A$6:$A$69,MATCH(A22,'Line Stats'!$W$6:$W$69,0)),"")</f>
        <v/>
      </c>
      <c r="C22" s="6" t="str">
        <f aca="false">IF(B22="","",INDEX('Line Stats'!$B$6:$B$69,MATCH(B22,'Line Stats'!$A$6:$A$69,0)))</f>
        <v/>
      </c>
      <c r="D22" s="8" t="str">
        <f aca="false">IF(B22="","",IFERROR(ROUND(SUMIF('Line Stats'!$A$6:$A$69,B22,'Line Stats'!$Y$6:$Y$69)/SUMIF('Line Stats'!$A$6:$A$69,B22,'Line Stats'!$Z$6:$Z$69),1),""))</f>
        <v/>
      </c>
      <c r="E22" s="11" t="str">
        <f aca="false">IF(B22="","",ROUND(AVERAGEIF('Line Stats'!$A$6:$A$69,B22,'Line Stats'!$J$6:$J$69),1))</f>
        <v/>
      </c>
      <c r="F22" s="11" t="str">
        <f aca="false">IF(B22="","",IFERROR(ROUND(AVERAGEIF('Line Stats'!$A$6:$A$69,C22,'Line Stats'!$P$6:$P$69),1),""))</f>
        <v/>
      </c>
      <c r="G22" s="7" t="str">
        <f aca="false">IF(B22="","",IFERROR(INDEX('Line Stats'!$C$6:$C$69,MATCH(_xlfn.MAXIFS('Line Stats'!$X$6:$X$69,'Line Stats'!$A$6:$A$69,B22),'Line Stats'!$X$6:$X$69,0)),""))</f>
        <v/>
      </c>
      <c r="H22" s="11" t="str">
        <f aca="false">IF(B22="","",IFERROR(INDEX('Line Stats'!$S$6:$S$69,MATCH(_xlfn.MAXIFS('Line Stats'!$X$6:$X$69,'Line Stats'!$A$6:$A$69,B22),'Line Stats'!$X$6:$X$69,0)),""))</f>
        <v/>
      </c>
      <c r="I22" s="9" t="str">
        <f aca="false">IF(B22="","",IF(D22="","No usable data",IF(D22&gt;=Settings!$B$11,"HIGH — strong scoring spot. Lean team total over / stack "&amp;G22&amp;".",IF(D22&gt;=Settings!$B$12,"MEDIUM — playable; focus on "&amp;G22&amp;".","LOW — tough scoring night."))))</f>
        <v/>
      </c>
    </row>
    <row r="23" customFormat="false" ht="15" hidden="false" customHeight="true" outlineLevel="0" collapsed="false">
      <c r="A23" s="6" t="n">
        <v>11</v>
      </c>
      <c r="B23" s="7" t="str">
        <f aca="false">IFERROR(INDEX('Line Stats'!$A$6:$A$69,MATCH(A23,'Line Stats'!$W$6:$W$69,0)),"")</f>
        <v/>
      </c>
      <c r="C23" s="6" t="str">
        <f aca="false">IF(B23="","",INDEX('Line Stats'!$B$6:$B$69,MATCH(B23,'Line Stats'!$A$6:$A$69,0)))</f>
        <v/>
      </c>
      <c r="D23" s="8" t="str">
        <f aca="false">IF(B23="","",IFERROR(ROUND(SUMIF('Line Stats'!$A$6:$A$69,B23,'Line Stats'!$Y$6:$Y$69)/SUMIF('Line Stats'!$A$6:$A$69,B23,'Line Stats'!$Z$6:$Z$69),1),""))</f>
        <v/>
      </c>
      <c r="E23" s="11" t="str">
        <f aca="false">IF(B23="","",ROUND(AVERAGEIF('Line Stats'!$A$6:$A$69,B23,'Line Stats'!$J$6:$J$69),1))</f>
        <v/>
      </c>
      <c r="F23" s="11" t="str">
        <f aca="false">IF(B23="","",IFERROR(ROUND(AVERAGEIF('Line Stats'!$A$6:$A$69,C23,'Line Stats'!$P$6:$P$69),1),""))</f>
        <v/>
      </c>
      <c r="G23" s="7" t="str">
        <f aca="false">IF(B23="","",IFERROR(INDEX('Line Stats'!$C$6:$C$69,MATCH(_xlfn.MAXIFS('Line Stats'!$X$6:$X$69,'Line Stats'!$A$6:$A$69,B23),'Line Stats'!$X$6:$X$69,0)),""))</f>
        <v/>
      </c>
      <c r="H23" s="11" t="str">
        <f aca="false">IF(B23="","",IFERROR(INDEX('Line Stats'!$S$6:$S$69,MATCH(_xlfn.MAXIFS('Line Stats'!$X$6:$X$69,'Line Stats'!$A$6:$A$69,B23),'Line Stats'!$X$6:$X$69,0)),""))</f>
        <v/>
      </c>
      <c r="I23" s="9" t="str">
        <f aca="false">IF(B23="","",IF(D23="","No usable data",IF(D23&gt;=Settings!$B$11,"HIGH — strong scoring spot. Lean team total over / stack "&amp;G23&amp;".",IF(D23&gt;=Settings!$B$12,"MEDIUM — playable; focus on "&amp;G23&amp;".","LOW — tough scoring night."))))</f>
        <v/>
      </c>
    </row>
    <row r="24" customFormat="false" ht="15" hidden="false" customHeight="true" outlineLevel="0" collapsed="false">
      <c r="A24" s="6" t="n">
        <v>12</v>
      </c>
      <c r="B24" s="7" t="str">
        <f aca="false">IFERROR(INDEX('Line Stats'!$A$6:$A$69,MATCH(A24,'Line Stats'!$W$6:$W$69,0)),"")</f>
        <v/>
      </c>
      <c r="C24" s="6" t="str">
        <f aca="false">IF(B24="","",INDEX('Line Stats'!$B$6:$B$69,MATCH(B24,'Line Stats'!$A$6:$A$69,0)))</f>
        <v/>
      </c>
      <c r="D24" s="8" t="str">
        <f aca="false">IF(B24="","",IFERROR(ROUND(SUMIF('Line Stats'!$A$6:$A$69,B24,'Line Stats'!$Y$6:$Y$69)/SUMIF('Line Stats'!$A$6:$A$69,B24,'Line Stats'!$Z$6:$Z$69),1),""))</f>
        <v/>
      </c>
      <c r="E24" s="11" t="str">
        <f aca="false">IF(B24="","",ROUND(AVERAGEIF('Line Stats'!$A$6:$A$69,B24,'Line Stats'!$J$6:$J$69),1))</f>
        <v/>
      </c>
      <c r="F24" s="11" t="str">
        <f aca="false">IF(B24="","",IFERROR(ROUND(AVERAGEIF('Line Stats'!$A$6:$A$69,C24,'Line Stats'!$P$6:$P$69),1),""))</f>
        <v/>
      </c>
      <c r="G24" s="7" t="str">
        <f aca="false">IF(B24="","",IFERROR(INDEX('Line Stats'!$C$6:$C$69,MATCH(_xlfn.MAXIFS('Line Stats'!$X$6:$X$69,'Line Stats'!$A$6:$A$69,B24),'Line Stats'!$X$6:$X$69,0)),""))</f>
        <v/>
      </c>
      <c r="H24" s="11" t="str">
        <f aca="false">IF(B24="","",IFERROR(INDEX('Line Stats'!$S$6:$S$69,MATCH(_xlfn.MAXIFS('Line Stats'!$X$6:$X$69,'Line Stats'!$A$6:$A$69,B24),'Line Stats'!$X$6:$X$69,0)),""))</f>
        <v/>
      </c>
      <c r="I24" s="9" t="str">
        <f aca="false">IF(B24="","",IF(D24="","No usable data",IF(D24&gt;=Settings!$B$11,"HIGH — strong scoring spot. Lean team total over / stack "&amp;G24&amp;".",IF(D24&gt;=Settings!$B$12,"MEDIUM — playable; focus on "&amp;G24&amp;".","LOW — tough scoring night."))))</f>
        <v/>
      </c>
    </row>
    <row r="25" customFormat="false" ht="15" hidden="false" customHeight="true" outlineLevel="0" collapsed="false">
      <c r="A25" s="6" t="n">
        <v>13</v>
      </c>
      <c r="B25" s="7" t="str">
        <f aca="false">IFERROR(INDEX('Line Stats'!$A$6:$A$69,MATCH(A25,'Line Stats'!$W$6:$W$69,0)),"")</f>
        <v/>
      </c>
      <c r="C25" s="6" t="str">
        <f aca="false">IF(B25="","",INDEX('Line Stats'!$B$6:$B$69,MATCH(B25,'Line Stats'!$A$6:$A$69,0)))</f>
        <v/>
      </c>
      <c r="D25" s="8" t="str">
        <f aca="false">IF(B25="","",IFERROR(ROUND(SUMIF('Line Stats'!$A$6:$A$69,B25,'Line Stats'!$Y$6:$Y$69)/SUMIF('Line Stats'!$A$6:$A$69,B25,'Line Stats'!$Z$6:$Z$69),1),""))</f>
        <v/>
      </c>
      <c r="E25" s="11" t="str">
        <f aca="false">IF(B25="","",ROUND(AVERAGEIF('Line Stats'!$A$6:$A$69,B25,'Line Stats'!$J$6:$J$69),1))</f>
        <v/>
      </c>
      <c r="F25" s="11" t="str">
        <f aca="false">IF(B25="","",IFERROR(ROUND(AVERAGEIF('Line Stats'!$A$6:$A$69,C25,'Line Stats'!$P$6:$P$69),1),""))</f>
        <v/>
      </c>
      <c r="G25" s="7" t="str">
        <f aca="false">IF(B25="","",IFERROR(INDEX('Line Stats'!$C$6:$C$69,MATCH(_xlfn.MAXIFS('Line Stats'!$X$6:$X$69,'Line Stats'!$A$6:$A$69,B25),'Line Stats'!$X$6:$X$69,0)),""))</f>
        <v/>
      </c>
      <c r="H25" s="11" t="str">
        <f aca="false">IF(B25="","",IFERROR(INDEX('Line Stats'!$S$6:$S$69,MATCH(_xlfn.MAXIFS('Line Stats'!$X$6:$X$69,'Line Stats'!$A$6:$A$69,B25),'Line Stats'!$X$6:$X$69,0)),""))</f>
        <v/>
      </c>
      <c r="I25" s="9" t="str">
        <f aca="false">IF(B25="","",IF(D25="","No usable data",IF(D25&gt;=Settings!$B$11,"HIGH — strong scoring spot. Lean team total over / stack "&amp;G25&amp;".",IF(D25&gt;=Settings!$B$12,"MEDIUM — playable; focus on "&amp;G25&amp;".","LOW — tough scoring night."))))</f>
        <v/>
      </c>
    </row>
    <row r="26" customFormat="false" ht="15" hidden="false" customHeight="true" outlineLevel="0" collapsed="false">
      <c r="A26" s="6" t="n">
        <v>14</v>
      </c>
      <c r="B26" s="7" t="str">
        <f aca="false">IFERROR(INDEX('Line Stats'!$A$6:$A$69,MATCH(A26,'Line Stats'!$W$6:$W$69,0)),"")</f>
        <v/>
      </c>
      <c r="C26" s="6" t="str">
        <f aca="false">IF(B26="","",INDEX('Line Stats'!$B$6:$B$69,MATCH(B26,'Line Stats'!$A$6:$A$69,0)))</f>
        <v/>
      </c>
      <c r="D26" s="8" t="str">
        <f aca="false">IF(B26="","",IFERROR(ROUND(SUMIF('Line Stats'!$A$6:$A$69,B26,'Line Stats'!$Y$6:$Y$69)/SUMIF('Line Stats'!$A$6:$A$69,B26,'Line Stats'!$Z$6:$Z$69),1),""))</f>
        <v/>
      </c>
      <c r="E26" s="11" t="str">
        <f aca="false">IF(B26="","",ROUND(AVERAGEIF('Line Stats'!$A$6:$A$69,B26,'Line Stats'!$J$6:$J$69),1))</f>
        <v/>
      </c>
      <c r="F26" s="11" t="str">
        <f aca="false">IF(B26="","",IFERROR(ROUND(AVERAGEIF('Line Stats'!$A$6:$A$69,C26,'Line Stats'!$P$6:$P$69),1),""))</f>
        <v/>
      </c>
      <c r="G26" s="7" t="str">
        <f aca="false">IF(B26="","",IFERROR(INDEX('Line Stats'!$C$6:$C$69,MATCH(_xlfn.MAXIFS('Line Stats'!$X$6:$X$69,'Line Stats'!$A$6:$A$69,B26),'Line Stats'!$X$6:$X$69,0)),""))</f>
        <v/>
      </c>
      <c r="H26" s="11" t="str">
        <f aca="false">IF(B26="","",IFERROR(INDEX('Line Stats'!$S$6:$S$69,MATCH(_xlfn.MAXIFS('Line Stats'!$X$6:$X$69,'Line Stats'!$A$6:$A$69,B26),'Line Stats'!$X$6:$X$69,0)),""))</f>
        <v/>
      </c>
      <c r="I26" s="9" t="str">
        <f aca="false">IF(B26="","",IF(D26="","No usable data",IF(D26&gt;=Settings!$B$11,"HIGH — strong scoring spot. Lean team total over / stack "&amp;G26&amp;".",IF(D26&gt;=Settings!$B$12,"MEDIUM — playable; focus on "&amp;G26&amp;".","LOW — tough scoring night."))))</f>
        <v/>
      </c>
    </row>
    <row r="27" customFormat="false" ht="15" hidden="false" customHeight="true" outlineLevel="0" collapsed="false">
      <c r="A27" s="6" t="n">
        <v>15</v>
      </c>
      <c r="B27" s="7" t="str">
        <f aca="false">IFERROR(INDEX('Line Stats'!$A$6:$A$69,MATCH(A27,'Line Stats'!$W$6:$W$69,0)),"")</f>
        <v/>
      </c>
      <c r="C27" s="6" t="str">
        <f aca="false">IF(B27="","",INDEX('Line Stats'!$B$6:$B$69,MATCH(B27,'Line Stats'!$A$6:$A$69,0)))</f>
        <v/>
      </c>
      <c r="D27" s="8" t="str">
        <f aca="false">IF(B27="","",IFERROR(ROUND(SUMIF('Line Stats'!$A$6:$A$69,B27,'Line Stats'!$Y$6:$Y$69)/SUMIF('Line Stats'!$A$6:$A$69,B27,'Line Stats'!$Z$6:$Z$69),1),""))</f>
        <v/>
      </c>
      <c r="E27" s="11" t="str">
        <f aca="false">IF(B27="","",ROUND(AVERAGEIF('Line Stats'!$A$6:$A$69,B27,'Line Stats'!$J$6:$J$69),1))</f>
        <v/>
      </c>
      <c r="F27" s="11" t="str">
        <f aca="false">IF(B27="","",IFERROR(ROUND(AVERAGEIF('Line Stats'!$A$6:$A$69,C27,'Line Stats'!$P$6:$P$69),1),""))</f>
        <v/>
      </c>
      <c r="G27" s="7" t="str">
        <f aca="false">IF(B27="","",IFERROR(INDEX('Line Stats'!$C$6:$C$69,MATCH(_xlfn.MAXIFS('Line Stats'!$X$6:$X$69,'Line Stats'!$A$6:$A$69,B27),'Line Stats'!$X$6:$X$69,0)),""))</f>
        <v/>
      </c>
      <c r="H27" s="11" t="str">
        <f aca="false">IF(B27="","",IFERROR(INDEX('Line Stats'!$S$6:$S$69,MATCH(_xlfn.MAXIFS('Line Stats'!$X$6:$X$69,'Line Stats'!$A$6:$A$69,B27),'Line Stats'!$X$6:$X$69,0)),""))</f>
        <v/>
      </c>
      <c r="I27" s="9" t="str">
        <f aca="false">IF(B27="","",IF(D27="","No usable data",IF(D27&gt;=Settings!$B$11,"HIGH — strong scoring spot. Lean team total over / stack "&amp;G27&amp;".",IF(D27&gt;=Settings!$B$12,"MEDIUM — playable; focus on "&amp;G27&amp;".","LOW — tough scoring night."))))</f>
        <v/>
      </c>
    </row>
    <row r="28" customFormat="false" ht="15" hidden="false" customHeight="true" outlineLevel="0" collapsed="false">
      <c r="A28" s="6" t="n">
        <v>16</v>
      </c>
      <c r="B28" s="7" t="str">
        <f aca="false">IFERROR(INDEX('Line Stats'!$A$6:$A$69,MATCH(A28,'Line Stats'!$W$6:$W$69,0)),"")</f>
        <v/>
      </c>
      <c r="C28" s="6" t="str">
        <f aca="false">IF(B28="","",INDEX('Line Stats'!$B$6:$B$69,MATCH(B28,'Line Stats'!$A$6:$A$69,0)))</f>
        <v/>
      </c>
      <c r="D28" s="8" t="str">
        <f aca="false">IF(B28="","",IFERROR(ROUND(SUMIF('Line Stats'!$A$6:$A$69,B28,'Line Stats'!$Y$6:$Y$69)/SUMIF('Line Stats'!$A$6:$A$69,B28,'Line Stats'!$Z$6:$Z$69),1),""))</f>
        <v/>
      </c>
      <c r="E28" s="11" t="str">
        <f aca="false">IF(B28="","",ROUND(AVERAGEIF('Line Stats'!$A$6:$A$69,B28,'Line Stats'!$J$6:$J$69),1))</f>
        <v/>
      </c>
      <c r="F28" s="11" t="str">
        <f aca="false">IF(B28="","",IFERROR(ROUND(AVERAGEIF('Line Stats'!$A$6:$A$69,C28,'Line Stats'!$P$6:$P$69),1),""))</f>
        <v/>
      </c>
      <c r="G28" s="7" t="str">
        <f aca="false">IF(B28="","",IFERROR(INDEX('Line Stats'!$C$6:$C$69,MATCH(_xlfn.MAXIFS('Line Stats'!$X$6:$X$69,'Line Stats'!$A$6:$A$69,B28),'Line Stats'!$X$6:$X$69,0)),""))</f>
        <v/>
      </c>
      <c r="H28" s="11" t="str">
        <f aca="false">IF(B28="","",IFERROR(INDEX('Line Stats'!$S$6:$S$69,MATCH(_xlfn.MAXIFS('Line Stats'!$X$6:$X$69,'Line Stats'!$A$6:$A$69,B28),'Line Stats'!$X$6:$X$69,0)),""))</f>
        <v/>
      </c>
      <c r="I28" s="9" t="str">
        <f aca="false">IF(B28="","",IF(D28="","No usable data",IF(D28&gt;=Settings!$B$11,"HIGH — strong scoring spot. Lean team total over / stack "&amp;G28&amp;".",IF(D28&gt;=Settings!$B$12,"MEDIUM — playable; focus on "&amp;G28&amp;".","LOW — tough scoring night."))))</f>
        <v/>
      </c>
    </row>
    <row r="29" customFormat="false" ht="15" hidden="false" customHeight="true" outlineLevel="0" collapsed="false">
      <c r="A29" s="6" t="n">
        <v>17</v>
      </c>
      <c r="B29" s="7" t="str">
        <f aca="false">IFERROR(INDEX('Line Stats'!$A$6:$A$69,MATCH(A29,'Line Stats'!$W$6:$W$69,0)),"")</f>
        <v/>
      </c>
      <c r="C29" s="6" t="str">
        <f aca="false">IF(B29="","",INDEX('Line Stats'!$B$6:$B$69,MATCH(B29,'Line Stats'!$A$6:$A$69,0)))</f>
        <v/>
      </c>
      <c r="D29" s="8" t="str">
        <f aca="false">IF(B29="","",IFERROR(ROUND(SUMIF('Line Stats'!$A$6:$A$69,B29,'Line Stats'!$Y$6:$Y$69)/SUMIF('Line Stats'!$A$6:$A$69,B29,'Line Stats'!$Z$6:$Z$69),1),""))</f>
        <v/>
      </c>
      <c r="E29" s="11" t="str">
        <f aca="false">IF(B29="","",ROUND(AVERAGEIF('Line Stats'!$A$6:$A$69,B29,'Line Stats'!$J$6:$J$69),1))</f>
        <v/>
      </c>
      <c r="F29" s="11" t="str">
        <f aca="false">IF(B29="","",IFERROR(ROUND(AVERAGEIF('Line Stats'!$A$6:$A$69,C29,'Line Stats'!$P$6:$P$69),1),""))</f>
        <v/>
      </c>
      <c r="G29" s="7" t="str">
        <f aca="false">IF(B29="","",IFERROR(INDEX('Line Stats'!$C$6:$C$69,MATCH(_xlfn.MAXIFS('Line Stats'!$X$6:$X$69,'Line Stats'!$A$6:$A$69,B29),'Line Stats'!$X$6:$X$69,0)),""))</f>
        <v/>
      </c>
      <c r="H29" s="11" t="str">
        <f aca="false">IF(B29="","",IFERROR(INDEX('Line Stats'!$S$6:$S$69,MATCH(_xlfn.MAXIFS('Line Stats'!$X$6:$X$69,'Line Stats'!$A$6:$A$69,B29),'Line Stats'!$X$6:$X$69,0)),""))</f>
        <v/>
      </c>
      <c r="I29" s="9" t="str">
        <f aca="false">IF(B29="","",IF(D29="","No usable data",IF(D29&gt;=Settings!$B$11,"HIGH — strong scoring spot. Lean team total over / stack "&amp;G29&amp;".",IF(D29&gt;=Settings!$B$12,"MEDIUM — playable; focus on "&amp;G29&amp;".","LOW — tough scoring night."))))</f>
        <v/>
      </c>
    </row>
    <row r="30" customFormat="false" ht="15" hidden="false" customHeight="true" outlineLevel="0" collapsed="false">
      <c r="A30" s="6" t="n">
        <v>18</v>
      </c>
      <c r="B30" s="7" t="str">
        <f aca="false">IFERROR(INDEX('Line Stats'!$A$6:$A$69,MATCH(A30,'Line Stats'!$W$6:$W$69,0)),"")</f>
        <v/>
      </c>
      <c r="C30" s="6" t="str">
        <f aca="false">IF(B30="","",INDEX('Line Stats'!$B$6:$B$69,MATCH(B30,'Line Stats'!$A$6:$A$69,0)))</f>
        <v/>
      </c>
      <c r="D30" s="8" t="str">
        <f aca="false">IF(B30="","",IFERROR(ROUND(SUMIF('Line Stats'!$A$6:$A$69,B30,'Line Stats'!$Y$6:$Y$69)/SUMIF('Line Stats'!$A$6:$A$69,B30,'Line Stats'!$Z$6:$Z$69),1),""))</f>
        <v/>
      </c>
      <c r="E30" s="11" t="str">
        <f aca="false">IF(B30="","",ROUND(AVERAGEIF('Line Stats'!$A$6:$A$69,B30,'Line Stats'!$J$6:$J$69),1))</f>
        <v/>
      </c>
      <c r="F30" s="11" t="str">
        <f aca="false">IF(B30="","",IFERROR(ROUND(AVERAGEIF('Line Stats'!$A$6:$A$69,C30,'Line Stats'!$P$6:$P$69),1),""))</f>
        <v/>
      </c>
      <c r="G30" s="7" t="str">
        <f aca="false">IF(B30="","",IFERROR(INDEX('Line Stats'!$C$6:$C$69,MATCH(_xlfn.MAXIFS('Line Stats'!$X$6:$X$69,'Line Stats'!$A$6:$A$69,B30),'Line Stats'!$X$6:$X$69,0)),""))</f>
        <v/>
      </c>
      <c r="H30" s="11" t="str">
        <f aca="false">IF(B30="","",IFERROR(INDEX('Line Stats'!$S$6:$S$69,MATCH(_xlfn.MAXIFS('Line Stats'!$X$6:$X$69,'Line Stats'!$A$6:$A$69,B30),'Line Stats'!$X$6:$X$69,0)),""))</f>
        <v/>
      </c>
      <c r="I30" s="9" t="str">
        <f aca="false">IF(B30="","",IF(D30="","No usable data",IF(D30&gt;=Settings!$B$11,"HIGH — strong scoring spot. Lean team total over / stack "&amp;G30&amp;".",IF(D30&gt;=Settings!$B$12,"MEDIUM — playable; focus on "&amp;G30&amp;".","LOW — tough scoring night."))))</f>
        <v/>
      </c>
    </row>
    <row r="31" customFormat="false" ht="15" hidden="false" customHeight="true" outlineLevel="0" collapsed="false">
      <c r="A31" s="6" t="n">
        <v>19</v>
      </c>
      <c r="B31" s="7" t="str">
        <f aca="false">IFERROR(INDEX('Line Stats'!$A$6:$A$69,MATCH(A31,'Line Stats'!$W$6:$W$69,0)),"")</f>
        <v/>
      </c>
      <c r="C31" s="6" t="str">
        <f aca="false">IF(B31="","",INDEX('Line Stats'!$B$6:$B$69,MATCH(B31,'Line Stats'!$A$6:$A$69,0)))</f>
        <v/>
      </c>
      <c r="D31" s="8" t="str">
        <f aca="false">IF(B31="","",IFERROR(ROUND(SUMIF('Line Stats'!$A$6:$A$69,B31,'Line Stats'!$Y$6:$Y$69)/SUMIF('Line Stats'!$A$6:$A$69,B31,'Line Stats'!$Z$6:$Z$69),1),""))</f>
        <v/>
      </c>
      <c r="E31" s="11" t="str">
        <f aca="false">IF(B31="","",ROUND(AVERAGEIF('Line Stats'!$A$6:$A$69,B31,'Line Stats'!$J$6:$J$69),1))</f>
        <v/>
      </c>
      <c r="F31" s="11" t="str">
        <f aca="false">IF(B31="","",IFERROR(ROUND(AVERAGEIF('Line Stats'!$A$6:$A$69,C31,'Line Stats'!$P$6:$P$69),1),""))</f>
        <v/>
      </c>
      <c r="G31" s="7" t="str">
        <f aca="false">IF(B31="","",IFERROR(INDEX('Line Stats'!$C$6:$C$69,MATCH(_xlfn.MAXIFS('Line Stats'!$X$6:$X$69,'Line Stats'!$A$6:$A$69,B31),'Line Stats'!$X$6:$X$69,0)),""))</f>
        <v/>
      </c>
      <c r="H31" s="11" t="str">
        <f aca="false">IF(B31="","",IFERROR(INDEX('Line Stats'!$S$6:$S$69,MATCH(_xlfn.MAXIFS('Line Stats'!$X$6:$X$69,'Line Stats'!$A$6:$A$69,B31),'Line Stats'!$X$6:$X$69,0)),""))</f>
        <v/>
      </c>
      <c r="I31" s="9" t="str">
        <f aca="false">IF(B31="","",IF(D31="","No usable data",IF(D31&gt;=Settings!$B$11,"HIGH — strong scoring spot. Lean team total over / stack "&amp;G31&amp;".",IF(D31&gt;=Settings!$B$12,"MEDIUM — playable; focus on "&amp;G31&amp;".","LOW — tough scoring night."))))</f>
        <v/>
      </c>
    </row>
    <row r="32" customFormat="false" ht="15" hidden="false" customHeight="true" outlineLevel="0" collapsed="false">
      <c r="A32" s="6" t="n">
        <v>20</v>
      </c>
      <c r="B32" s="7" t="str">
        <f aca="false">IFERROR(INDEX('Line Stats'!$A$6:$A$69,MATCH(A32,'Line Stats'!$W$6:$W$69,0)),"")</f>
        <v/>
      </c>
      <c r="C32" s="6" t="str">
        <f aca="false">IF(B32="","",INDEX('Line Stats'!$B$6:$B$69,MATCH(B32,'Line Stats'!$A$6:$A$69,0)))</f>
        <v/>
      </c>
      <c r="D32" s="8" t="str">
        <f aca="false">IF(B32="","",IFERROR(ROUND(SUMIF('Line Stats'!$A$6:$A$69,B32,'Line Stats'!$Y$6:$Y$69)/SUMIF('Line Stats'!$A$6:$A$69,B32,'Line Stats'!$Z$6:$Z$69),1),""))</f>
        <v/>
      </c>
      <c r="E32" s="11" t="str">
        <f aca="false">IF(B32="","",ROUND(AVERAGEIF('Line Stats'!$A$6:$A$69,B32,'Line Stats'!$J$6:$J$69),1))</f>
        <v/>
      </c>
      <c r="F32" s="11" t="str">
        <f aca="false">IF(B32="","",IFERROR(ROUND(AVERAGEIF('Line Stats'!$A$6:$A$69,C32,'Line Stats'!$P$6:$P$69),1),""))</f>
        <v/>
      </c>
      <c r="G32" s="7" t="str">
        <f aca="false">IF(B32="","",IFERROR(INDEX('Line Stats'!$C$6:$C$69,MATCH(_xlfn.MAXIFS('Line Stats'!$X$6:$X$69,'Line Stats'!$A$6:$A$69,B32),'Line Stats'!$X$6:$X$69,0)),""))</f>
        <v/>
      </c>
      <c r="H32" s="11" t="str">
        <f aca="false">IF(B32="","",IFERROR(INDEX('Line Stats'!$S$6:$S$69,MATCH(_xlfn.MAXIFS('Line Stats'!$X$6:$X$69,'Line Stats'!$A$6:$A$69,B32),'Line Stats'!$X$6:$X$69,0)),""))</f>
        <v/>
      </c>
      <c r="I32" s="9" t="str">
        <f aca="false">IF(B32="","",IF(D32="","No usable data",IF(D32&gt;=Settings!$B$11,"HIGH — strong scoring spot. Lean team total over / stack "&amp;G32&amp;".",IF(D32&gt;=Settings!$B$12,"MEDIUM — playable; focus on "&amp;G32&amp;".","LOW — tough scoring night."))))</f>
        <v/>
      </c>
    </row>
    <row r="33" customFormat="false" ht="15" hidden="false" customHeight="true" outlineLevel="0" collapsed="false">
      <c r="A33" s="6" t="n">
        <v>21</v>
      </c>
      <c r="B33" s="7" t="str">
        <f aca="false">IFERROR(INDEX('Line Stats'!$A$6:$A$69,MATCH(A33,'Line Stats'!$W$6:$W$69,0)),"")</f>
        <v/>
      </c>
      <c r="C33" s="6" t="str">
        <f aca="false">IF(B33="","",INDEX('Line Stats'!$B$6:$B$69,MATCH(B33,'Line Stats'!$A$6:$A$69,0)))</f>
        <v/>
      </c>
      <c r="D33" s="8" t="str">
        <f aca="false">IF(B33="","",IFERROR(ROUND(SUMIF('Line Stats'!$A$6:$A$69,B33,'Line Stats'!$Y$6:$Y$69)/SUMIF('Line Stats'!$A$6:$A$69,B33,'Line Stats'!$Z$6:$Z$69),1),""))</f>
        <v/>
      </c>
      <c r="E33" s="11" t="str">
        <f aca="false">IF(B33="","",ROUND(AVERAGEIF('Line Stats'!$A$6:$A$69,B33,'Line Stats'!$J$6:$J$69),1))</f>
        <v/>
      </c>
      <c r="F33" s="11" t="str">
        <f aca="false">IF(B33="","",IFERROR(ROUND(AVERAGEIF('Line Stats'!$A$6:$A$69,C33,'Line Stats'!$P$6:$P$69),1),""))</f>
        <v/>
      </c>
      <c r="G33" s="7" t="str">
        <f aca="false">IF(B33="","",IFERROR(INDEX('Line Stats'!$C$6:$C$69,MATCH(_xlfn.MAXIFS('Line Stats'!$X$6:$X$69,'Line Stats'!$A$6:$A$69,B33),'Line Stats'!$X$6:$X$69,0)),""))</f>
        <v/>
      </c>
      <c r="H33" s="11" t="str">
        <f aca="false">IF(B33="","",IFERROR(INDEX('Line Stats'!$S$6:$S$69,MATCH(_xlfn.MAXIFS('Line Stats'!$X$6:$X$69,'Line Stats'!$A$6:$A$69,B33),'Line Stats'!$X$6:$X$69,0)),""))</f>
        <v/>
      </c>
      <c r="I33" s="9" t="str">
        <f aca="false">IF(B33="","",IF(D33="","No usable data",IF(D33&gt;=Settings!$B$11,"HIGH — strong scoring spot. Lean team total over / stack "&amp;G33&amp;".",IF(D33&gt;=Settings!$B$12,"MEDIUM — playable; focus on "&amp;G33&amp;".","LOW — tough scoring night."))))</f>
        <v/>
      </c>
    </row>
    <row r="34" customFormat="false" ht="15" hidden="false" customHeight="true" outlineLevel="0" collapsed="false">
      <c r="A34" s="6" t="n">
        <v>22</v>
      </c>
      <c r="B34" s="7" t="str">
        <f aca="false">IFERROR(INDEX('Line Stats'!$A$6:$A$69,MATCH(A34,'Line Stats'!$W$6:$W$69,0)),"")</f>
        <v/>
      </c>
      <c r="C34" s="6" t="str">
        <f aca="false">IF(B34="","",INDEX('Line Stats'!$B$6:$B$69,MATCH(B34,'Line Stats'!$A$6:$A$69,0)))</f>
        <v/>
      </c>
      <c r="D34" s="8" t="str">
        <f aca="false">IF(B34="","",IFERROR(ROUND(SUMIF('Line Stats'!$A$6:$A$69,B34,'Line Stats'!$Y$6:$Y$69)/SUMIF('Line Stats'!$A$6:$A$69,B34,'Line Stats'!$Z$6:$Z$69),1),""))</f>
        <v/>
      </c>
      <c r="E34" s="11" t="str">
        <f aca="false">IF(B34="","",ROUND(AVERAGEIF('Line Stats'!$A$6:$A$69,B34,'Line Stats'!$J$6:$J$69),1))</f>
        <v/>
      </c>
      <c r="F34" s="11" t="str">
        <f aca="false">IF(B34="","",IFERROR(ROUND(AVERAGEIF('Line Stats'!$A$6:$A$69,C34,'Line Stats'!$P$6:$P$69),1),""))</f>
        <v/>
      </c>
      <c r="G34" s="7" t="str">
        <f aca="false">IF(B34="","",IFERROR(INDEX('Line Stats'!$C$6:$C$69,MATCH(_xlfn.MAXIFS('Line Stats'!$X$6:$X$69,'Line Stats'!$A$6:$A$69,B34),'Line Stats'!$X$6:$X$69,0)),""))</f>
        <v/>
      </c>
      <c r="H34" s="11" t="str">
        <f aca="false">IF(B34="","",IFERROR(INDEX('Line Stats'!$S$6:$S$69,MATCH(_xlfn.MAXIFS('Line Stats'!$X$6:$X$69,'Line Stats'!$A$6:$A$69,B34),'Line Stats'!$X$6:$X$69,0)),""))</f>
        <v/>
      </c>
      <c r="I34" s="9" t="str">
        <f aca="false">IF(B34="","",IF(D34="","No usable data",IF(D34&gt;=Settings!$B$11,"HIGH — strong scoring spot. Lean team total over / stack "&amp;G34&amp;".",IF(D34&gt;=Settings!$B$12,"MEDIUM — playable; focus on "&amp;G34&amp;".","LOW — tough scoring night."))))</f>
        <v/>
      </c>
    </row>
    <row r="35" customFormat="false" ht="15" hidden="false" customHeight="true" outlineLevel="0" collapsed="false">
      <c r="A35" s="6" t="n">
        <v>23</v>
      </c>
      <c r="B35" s="7" t="str">
        <f aca="false">IFERROR(INDEX('Line Stats'!$A$6:$A$69,MATCH(A35,'Line Stats'!$W$6:$W$69,0)),"")</f>
        <v/>
      </c>
      <c r="C35" s="6" t="str">
        <f aca="false">IF(B35="","",INDEX('Line Stats'!$B$6:$B$69,MATCH(B35,'Line Stats'!$A$6:$A$69,0)))</f>
        <v/>
      </c>
      <c r="D35" s="8" t="str">
        <f aca="false">IF(B35="","",IFERROR(ROUND(SUMIF('Line Stats'!$A$6:$A$69,B35,'Line Stats'!$Y$6:$Y$69)/SUMIF('Line Stats'!$A$6:$A$69,B35,'Line Stats'!$Z$6:$Z$69),1),""))</f>
        <v/>
      </c>
      <c r="E35" s="11" t="str">
        <f aca="false">IF(B35="","",ROUND(AVERAGEIF('Line Stats'!$A$6:$A$69,B35,'Line Stats'!$J$6:$J$69),1))</f>
        <v/>
      </c>
      <c r="F35" s="11" t="str">
        <f aca="false">IF(B35="","",IFERROR(ROUND(AVERAGEIF('Line Stats'!$A$6:$A$69,C35,'Line Stats'!$P$6:$P$69),1),""))</f>
        <v/>
      </c>
      <c r="G35" s="7" t="str">
        <f aca="false">IF(B35="","",IFERROR(INDEX('Line Stats'!$C$6:$C$69,MATCH(_xlfn.MAXIFS('Line Stats'!$X$6:$X$69,'Line Stats'!$A$6:$A$69,B35),'Line Stats'!$X$6:$X$69,0)),""))</f>
        <v/>
      </c>
      <c r="H35" s="11" t="str">
        <f aca="false">IF(B35="","",IFERROR(INDEX('Line Stats'!$S$6:$S$69,MATCH(_xlfn.MAXIFS('Line Stats'!$X$6:$X$69,'Line Stats'!$A$6:$A$69,B35),'Line Stats'!$X$6:$X$69,0)),""))</f>
        <v/>
      </c>
      <c r="I35" s="9" t="str">
        <f aca="false">IF(B35="","",IF(D35="","No usable data",IF(D35&gt;=Settings!$B$11,"HIGH — strong scoring spot. Lean team total over / stack "&amp;G35&amp;".",IF(D35&gt;=Settings!$B$12,"MEDIUM — playable; focus on "&amp;G35&amp;".","LOW — tough scoring night."))))</f>
        <v/>
      </c>
    </row>
    <row r="36" customFormat="false" ht="15" hidden="false" customHeight="true" outlineLevel="0" collapsed="false">
      <c r="A36" s="6" t="n">
        <v>24</v>
      </c>
      <c r="B36" s="7" t="str">
        <f aca="false">IFERROR(INDEX('Line Stats'!$A$6:$A$69,MATCH(A36,'Line Stats'!$W$6:$W$69,0)),"")</f>
        <v/>
      </c>
      <c r="C36" s="6" t="str">
        <f aca="false">IF(B36="","",INDEX('Line Stats'!$B$6:$B$69,MATCH(B36,'Line Stats'!$A$6:$A$69,0)))</f>
        <v/>
      </c>
      <c r="D36" s="8" t="str">
        <f aca="false">IF(B36="","",IFERROR(ROUND(SUMIF('Line Stats'!$A$6:$A$69,B36,'Line Stats'!$Y$6:$Y$69)/SUMIF('Line Stats'!$A$6:$A$69,B36,'Line Stats'!$Z$6:$Z$69),1),""))</f>
        <v/>
      </c>
      <c r="E36" s="11" t="str">
        <f aca="false">IF(B36="","",ROUND(AVERAGEIF('Line Stats'!$A$6:$A$69,B36,'Line Stats'!$J$6:$J$69),1))</f>
        <v/>
      </c>
      <c r="F36" s="11" t="str">
        <f aca="false">IF(B36="","",IFERROR(ROUND(AVERAGEIF('Line Stats'!$A$6:$A$69,C36,'Line Stats'!$P$6:$P$69),1),""))</f>
        <v/>
      </c>
      <c r="G36" s="7" t="str">
        <f aca="false">IF(B36="","",IFERROR(INDEX('Line Stats'!$C$6:$C$69,MATCH(_xlfn.MAXIFS('Line Stats'!$X$6:$X$69,'Line Stats'!$A$6:$A$69,B36),'Line Stats'!$X$6:$X$69,0)),""))</f>
        <v/>
      </c>
      <c r="H36" s="11" t="str">
        <f aca="false">IF(B36="","",IFERROR(INDEX('Line Stats'!$S$6:$S$69,MATCH(_xlfn.MAXIFS('Line Stats'!$X$6:$X$69,'Line Stats'!$A$6:$A$69,B36),'Line Stats'!$X$6:$X$69,0)),""))</f>
        <v/>
      </c>
      <c r="I36" s="9" t="str">
        <f aca="false">IF(B36="","",IF(D36="","No usable data",IF(D36&gt;=Settings!$B$11,"HIGH — strong scoring spot. Lean team total over / stack "&amp;G36&amp;".",IF(D36&gt;=Settings!$B$12,"MEDIUM — playable; focus on "&amp;G36&amp;".","LOW — tough scoring night."))))</f>
        <v/>
      </c>
    </row>
    <row r="37" customFormat="false" ht="15" hidden="false" customHeight="true" outlineLevel="0" collapsed="false">
      <c r="A37" s="6" t="n">
        <v>25</v>
      </c>
      <c r="B37" s="7" t="str">
        <f aca="false">IFERROR(INDEX('Line Stats'!$A$6:$A$69,MATCH(A37,'Line Stats'!$W$6:$W$69,0)),"")</f>
        <v/>
      </c>
      <c r="C37" s="6" t="str">
        <f aca="false">IF(B37="","",INDEX('Line Stats'!$B$6:$B$69,MATCH(B37,'Line Stats'!$A$6:$A$69,0)))</f>
        <v/>
      </c>
      <c r="D37" s="8" t="str">
        <f aca="false">IF(B37="","",IFERROR(ROUND(SUMIF('Line Stats'!$A$6:$A$69,B37,'Line Stats'!$Y$6:$Y$69)/SUMIF('Line Stats'!$A$6:$A$69,B37,'Line Stats'!$Z$6:$Z$69),1),""))</f>
        <v/>
      </c>
      <c r="E37" s="11" t="str">
        <f aca="false">IF(B37="","",ROUND(AVERAGEIF('Line Stats'!$A$6:$A$69,B37,'Line Stats'!$J$6:$J$69),1))</f>
        <v/>
      </c>
      <c r="F37" s="11" t="str">
        <f aca="false">IF(B37="","",IFERROR(ROUND(AVERAGEIF('Line Stats'!$A$6:$A$69,C37,'Line Stats'!$P$6:$P$69),1),""))</f>
        <v/>
      </c>
      <c r="G37" s="7" t="str">
        <f aca="false">IF(B37="","",IFERROR(INDEX('Line Stats'!$C$6:$C$69,MATCH(_xlfn.MAXIFS('Line Stats'!$X$6:$X$69,'Line Stats'!$A$6:$A$69,B37),'Line Stats'!$X$6:$X$69,0)),""))</f>
        <v/>
      </c>
      <c r="H37" s="11" t="str">
        <f aca="false">IF(B37="","",IFERROR(INDEX('Line Stats'!$S$6:$S$69,MATCH(_xlfn.MAXIFS('Line Stats'!$X$6:$X$69,'Line Stats'!$A$6:$A$69,B37),'Line Stats'!$X$6:$X$69,0)),""))</f>
        <v/>
      </c>
      <c r="I37" s="9" t="str">
        <f aca="false">IF(B37="","",IF(D37="","No usable data",IF(D37&gt;=Settings!$B$11,"HIGH — strong scoring spot. Lean team total over / stack "&amp;G37&amp;".",IF(D37&gt;=Settings!$B$12,"MEDIUM — playable; focus on "&amp;G37&amp;".","LOW — tough scoring night."))))</f>
        <v/>
      </c>
    </row>
    <row r="38" customFormat="false" ht="15" hidden="false" customHeight="true" outlineLevel="0" collapsed="false">
      <c r="A38" s="6" t="n">
        <v>26</v>
      </c>
      <c r="B38" s="7" t="str">
        <f aca="false">IFERROR(INDEX('Line Stats'!$A$6:$A$69,MATCH(A38,'Line Stats'!$W$6:$W$69,0)),"")</f>
        <v/>
      </c>
      <c r="C38" s="6" t="str">
        <f aca="false">IF(B38="","",INDEX('Line Stats'!$B$6:$B$69,MATCH(B38,'Line Stats'!$A$6:$A$69,0)))</f>
        <v/>
      </c>
      <c r="D38" s="8" t="str">
        <f aca="false">IF(B38="","",IFERROR(ROUND(SUMIF('Line Stats'!$A$6:$A$69,B38,'Line Stats'!$Y$6:$Y$69)/SUMIF('Line Stats'!$A$6:$A$69,B38,'Line Stats'!$Z$6:$Z$69),1),""))</f>
        <v/>
      </c>
      <c r="E38" s="11" t="str">
        <f aca="false">IF(B38="","",ROUND(AVERAGEIF('Line Stats'!$A$6:$A$69,B38,'Line Stats'!$J$6:$J$69),1))</f>
        <v/>
      </c>
      <c r="F38" s="11" t="str">
        <f aca="false">IF(B38="","",IFERROR(ROUND(AVERAGEIF('Line Stats'!$A$6:$A$69,C38,'Line Stats'!$P$6:$P$69),1),""))</f>
        <v/>
      </c>
      <c r="G38" s="7" t="str">
        <f aca="false">IF(B38="","",IFERROR(INDEX('Line Stats'!$C$6:$C$69,MATCH(_xlfn.MAXIFS('Line Stats'!$X$6:$X$69,'Line Stats'!$A$6:$A$69,B38),'Line Stats'!$X$6:$X$69,0)),""))</f>
        <v/>
      </c>
      <c r="H38" s="11" t="str">
        <f aca="false">IF(B38="","",IFERROR(INDEX('Line Stats'!$S$6:$S$69,MATCH(_xlfn.MAXIFS('Line Stats'!$X$6:$X$69,'Line Stats'!$A$6:$A$69,B38),'Line Stats'!$X$6:$X$69,0)),""))</f>
        <v/>
      </c>
      <c r="I38" s="9" t="str">
        <f aca="false">IF(B38="","",IF(D38="","No usable data",IF(D38&gt;=Settings!$B$11,"HIGH — strong scoring spot. Lean team total over / stack "&amp;G38&amp;".",IF(D38&gt;=Settings!$B$12,"MEDIUM — playable; focus on "&amp;G38&amp;".","LOW — tough scoring night."))))</f>
        <v/>
      </c>
    </row>
    <row r="39" customFormat="false" ht="15" hidden="false" customHeight="true" outlineLevel="0" collapsed="false">
      <c r="A39" s="6" t="n">
        <v>27</v>
      </c>
      <c r="B39" s="7" t="str">
        <f aca="false">IFERROR(INDEX('Line Stats'!$A$6:$A$69,MATCH(A39,'Line Stats'!$W$6:$W$69,0)),"")</f>
        <v/>
      </c>
      <c r="C39" s="6" t="str">
        <f aca="false">IF(B39="","",INDEX('Line Stats'!$B$6:$B$69,MATCH(B39,'Line Stats'!$A$6:$A$69,0)))</f>
        <v/>
      </c>
      <c r="D39" s="8" t="str">
        <f aca="false">IF(B39="","",IFERROR(ROUND(SUMIF('Line Stats'!$A$6:$A$69,B39,'Line Stats'!$Y$6:$Y$69)/SUMIF('Line Stats'!$A$6:$A$69,B39,'Line Stats'!$Z$6:$Z$69),1),""))</f>
        <v/>
      </c>
      <c r="E39" s="11" t="str">
        <f aca="false">IF(B39="","",ROUND(AVERAGEIF('Line Stats'!$A$6:$A$69,B39,'Line Stats'!$J$6:$J$69),1))</f>
        <v/>
      </c>
      <c r="F39" s="11" t="str">
        <f aca="false">IF(B39="","",IFERROR(ROUND(AVERAGEIF('Line Stats'!$A$6:$A$69,C39,'Line Stats'!$P$6:$P$69),1),""))</f>
        <v/>
      </c>
      <c r="G39" s="7" t="str">
        <f aca="false">IF(B39="","",IFERROR(INDEX('Line Stats'!$C$6:$C$69,MATCH(_xlfn.MAXIFS('Line Stats'!$X$6:$X$69,'Line Stats'!$A$6:$A$69,B39),'Line Stats'!$X$6:$X$69,0)),""))</f>
        <v/>
      </c>
      <c r="H39" s="11" t="str">
        <f aca="false">IF(B39="","",IFERROR(INDEX('Line Stats'!$S$6:$S$69,MATCH(_xlfn.MAXIFS('Line Stats'!$X$6:$X$69,'Line Stats'!$A$6:$A$69,B39),'Line Stats'!$X$6:$X$69,0)),""))</f>
        <v/>
      </c>
      <c r="I39" s="9" t="str">
        <f aca="false">IF(B39="","",IF(D39="","No usable data",IF(D39&gt;=Settings!$B$11,"HIGH — strong scoring spot. Lean team total over / stack "&amp;G39&amp;".",IF(D39&gt;=Settings!$B$12,"MEDIUM — playable; focus on "&amp;G39&amp;".","LOW — tough scoring night."))))</f>
        <v/>
      </c>
    </row>
    <row r="40" customFormat="false" ht="15" hidden="false" customHeight="true" outlineLevel="0" collapsed="false">
      <c r="A40" s="6" t="n">
        <v>28</v>
      </c>
      <c r="B40" s="7" t="str">
        <f aca="false">IFERROR(INDEX('Line Stats'!$A$6:$A$69,MATCH(A40,'Line Stats'!$W$6:$W$69,0)),"")</f>
        <v/>
      </c>
      <c r="C40" s="6" t="str">
        <f aca="false">IF(B40="","",INDEX('Line Stats'!$B$6:$B$69,MATCH(B40,'Line Stats'!$A$6:$A$69,0)))</f>
        <v/>
      </c>
      <c r="D40" s="8" t="str">
        <f aca="false">IF(B40="","",IFERROR(ROUND(SUMIF('Line Stats'!$A$6:$A$69,B40,'Line Stats'!$Y$6:$Y$69)/SUMIF('Line Stats'!$A$6:$A$69,B40,'Line Stats'!$Z$6:$Z$69),1),""))</f>
        <v/>
      </c>
      <c r="E40" s="11" t="str">
        <f aca="false">IF(B40="","",ROUND(AVERAGEIF('Line Stats'!$A$6:$A$69,B40,'Line Stats'!$J$6:$J$69),1))</f>
        <v/>
      </c>
      <c r="F40" s="11" t="str">
        <f aca="false">IF(B40="","",IFERROR(ROUND(AVERAGEIF('Line Stats'!$A$6:$A$69,C40,'Line Stats'!$P$6:$P$69),1),""))</f>
        <v/>
      </c>
      <c r="G40" s="7" t="str">
        <f aca="false">IF(B40="","",IFERROR(INDEX('Line Stats'!$C$6:$C$69,MATCH(_xlfn.MAXIFS('Line Stats'!$X$6:$X$69,'Line Stats'!$A$6:$A$69,B40),'Line Stats'!$X$6:$X$69,0)),""))</f>
        <v/>
      </c>
      <c r="H40" s="11" t="str">
        <f aca="false">IF(B40="","",IFERROR(INDEX('Line Stats'!$S$6:$S$69,MATCH(_xlfn.MAXIFS('Line Stats'!$X$6:$X$69,'Line Stats'!$A$6:$A$69,B40),'Line Stats'!$X$6:$X$69,0)),""))</f>
        <v/>
      </c>
      <c r="I40" s="9" t="str">
        <f aca="false">IF(B40="","",IF(D40="","No usable data",IF(D40&gt;=Settings!$B$11,"HIGH — strong scoring spot. Lean team total over / stack "&amp;G40&amp;".",IF(D40&gt;=Settings!$B$12,"MEDIUM — playable; focus on "&amp;G40&amp;".","LOW — tough scoring night."))))</f>
        <v/>
      </c>
    </row>
    <row r="41" customFormat="false" ht="15" hidden="false" customHeight="true" outlineLevel="0" collapsed="false">
      <c r="A41" s="6" t="n">
        <v>29</v>
      </c>
      <c r="B41" s="7" t="str">
        <f aca="false">IFERROR(INDEX('Line Stats'!$A$6:$A$69,MATCH(A41,'Line Stats'!$W$6:$W$69,0)),"")</f>
        <v/>
      </c>
      <c r="C41" s="6" t="str">
        <f aca="false">IF(B41="","",INDEX('Line Stats'!$B$6:$B$69,MATCH(B41,'Line Stats'!$A$6:$A$69,0)))</f>
        <v/>
      </c>
      <c r="D41" s="8" t="str">
        <f aca="false">IF(B41="","",IFERROR(ROUND(SUMIF('Line Stats'!$A$6:$A$69,B41,'Line Stats'!$Y$6:$Y$69)/SUMIF('Line Stats'!$A$6:$A$69,B41,'Line Stats'!$Z$6:$Z$69),1),""))</f>
        <v/>
      </c>
      <c r="E41" s="11" t="str">
        <f aca="false">IF(B41="","",ROUND(AVERAGEIF('Line Stats'!$A$6:$A$69,B41,'Line Stats'!$J$6:$J$69),1))</f>
        <v/>
      </c>
      <c r="F41" s="11" t="str">
        <f aca="false">IF(B41="","",IFERROR(ROUND(AVERAGEIF('Line Stats'!$A$6:$A$69,C41,'Line Stats'!$P$6:$P$69),1),""))</f>
        <v/>
      </c>
      <c r="G41" s="7" t="str">
        <f aca="false">IF(B41="","",IFERROR(INDEX('Line Stats'!$C$6:$C$69,MATCH(_xlfn.MAXIFS('Line Stats'!$X$6:$X$69,'Line Stats'!$A$6:$A$69,B41),'Line Stats'!$X$6:$X$69,0)),""))</f>
        <v/>
      </c>
      <c r="H41" s="11" t="str">
        <f aca="false">IF(B41="","",IFERROR(INDEX('Line Stats'!$S$6:$S$69,MATCH(_xlfn.MAXIFS('Line Stats'!$X$6:$X$69,'Line Stats'!$A$6:$A$69,B41),'Line Stats'!$X$6:$X$69,0)),""))</f>
        <v/>
      </c>
      <c r="I41" s="9" t="str">
        <f aca="false">IF(B41="","",IF(D41="","No usable data",IF(D41&gt;=Settings!$B$11,"HIGH — strong scoring spot. Lean team total over / stack "&amp;G41&amp;".",IF(D41&gt;=Settings!$B$12,"MEDIUM — playable; focus on "&amp;G41&amp;".","LOW — tough scoring night."))))</f>
        <v/>
      </c>
    </row>
    <row r="42" customFormat="false" ht="15" hidden="false" customHeight="true" outlineLevel="0" collapsed="false">
      <c r="A42" s="6" t="n">
        <v>30</v>
      </c>
      <c r="B42" s="7" t="str">
        <f aca="false">IFERROR(INDEX('Line Stats'!$A$6:$A$69,MATCH(A42,'Line Stats'!$W$6:$W$69,0)),"")</f>
        <v/>
      </c>
      <c r="C42" s="6" t="str">
        <f aca="false">IF(B42="","",INDEX('Line Stats'!$B$6:$B$69,MATCH(B42,'Line Stats'!$A$6:$A$69,0)))</f>
        <v/>
      </c>
      <c r="D42" s="8" t="str">
        <f aca="false">IF(B42="","",IFERROR(ROUND(SUMIF('Line Stats'!$A$6:$A$69,B42,'Line Stats'!$Y$6:$Y$69)/SUMIF('Line Stats'!$A$6:$A$69,B42,'Line Stats'!$Z$6:$Z$69),1),""))</f>
        <v/>
      </c>
      <c r="E42" s="11" t="str">
        <f aca="false">IF(B42="","",ROUND(AVERAGEIF('Line Stats'!$A$6:$A$69,B42,'Line Stats'!$J$6:$J$69),1))</f>
        <v/>
      </c>
      <c r="F42" s="11" t="str">
        <f aca="false">IF(B42="","",IFERROR(ROUND(AVERAGEIF('Line Stats'!$A$6:$A$69,C42,'Line Stats'!$P$6:$P$69),1),""))</f>
        <v/>
      </c>
      <c r="G42" s="7" t="str">
        <f aca="false">IF(B42="","",IFERROR(INDEX('Line Stats'!$C$6:$C$69,MATCH(_xlfn.MAXIFS('Line Stats'!$X$6:$X$69,'Line Stats'!$A$6:$A$69,B42),'Line Stats'!$X$6:$X$69,0)),""))</f>
        <v/>
      </c>
      <c r="H42" s="11" t="str">
        <f aca="false">IF(B42="","",IFERROR(INDEX('Line Stats'!$S$6:$S$69,MATCH(_xlfn.MAXIFS('Line Stats'!$X$6:$X$69,'Line Stats'!$A$6:$A$69,B42),'Line Stats'!$X$6:$X$69,0)),""))</f>
        <v/>
      </c>
      <c r="I42" s="9" t="str">
        <f aca="false">IF(B42="","",IF(D42="","No usable data",IF(D42&gt;=Settings!$B$11,"HIGH — strong scoring spot. Lean team total over / stack "&amp;G42&amp;".",IF(D42&gt;=Settings!$B$12,"MEDIUM — playable; focus on "&amp;G42&amp;".","LOW — tough scoring night."))))</f>
        <v/>
      </c>
    </row>
    <row r="43" customFormat="false" ht="15" hidden="false" customHeight="true" outlineLevel="0" collapsed="false">
      <c r="A43" s="6" t="n">
        <v>31</v>
      </c>
      <c r="B43" s="7" t="str">
        <f aca="false">IFERROR(INDEX('Line Stats'!$A$6:$A$69,MATCH(A43,'Line Stats'!$W$6:$W$69,0)),"")</f>
        <v/>
      </c>
      <c r="C43" s="6" t="str">
        <f aca="false">IF(B43="","",INDEX('Line Stats'!$B$6:$B$69,MATCH(B43,'Line Stats'!$A$6:$A$69,0)))</f>
        <v/>
      </c>
      <c r="D43" s="8" t="str">
        <f aca="false">IF(B43="","",IFERROR(ROUND(SUMIF('Line Stats'!$A$6:$A$69,B43,'Line Stats'!$Y$6:$Y$69)/SUMIF('Line Stats'!$A$6:$A$69,B43,'Line Stats'!$Z$6:$Z$69),1),""))</f>
        <v/>
      </c>
      <c r="E43" s="11" t="str">
        <f aca="false">IF(B43="","",ROUND(AVERAGEIF('Line Stats'!$A$6:$A$69,B43,'Line Stats'!$J$6:$J$69),1))</f>
        <v/>
      </c>
      <c r="F43" s="11" t="str">
        <f aca="false">IF(B43="","",IFERROR(ROUND(AVERAGEIF('Line Stats'!$A$6:$A$69,C43,'Line Stats'!$P$6:$P$69),1),""))</f>
        <v/>
      </c>
      <c r="G43" s="7" t="str">
        <f aca="false">IF(B43="","",IFERROR(INDEX('Line Stats'!$C$6:$C$69,MATCH(_xlfn.MAXIFS('Line Stats'!$X$6:$X$69,'Line Stats'!$A$6:$A$69,B43),'Line Stats'!$X$6:$X$69,0)),""))</f>
        <v/>
      </c>
      <c r="H43" s="11" t="str">
        <f aca="false">IF(B43="","",IFERROR(INDEX('Line Stats'!$S$6:$S$69,MATCH(_xlfn.MAXIFS('Line Stats'!$X$6:$X$69,'Line Stats'!$A$6:$A$69,B43),'Line Stats'!$X$6:$X$69,0)),""))</f>
        <v/>
      </c>
      <c r="I43" s="9" t="str">
        <f aca="false">IF(B43="","",IF(D43="","No usable data",IF(D43&gt;=Settings!$B$11,"HIGH — strong scoring spot. Lean team total over / stack "&amp;G43&amp;".",IF(D43&gt;=Settings!$B$12,"MEDIUM — playable; focus on "&amp;G43&amp;".","LOW — tough scoring night."))))</f>
        <v/>
      </c>
    </row>
    <row r="44" customFormat="false" ht="15" hidden="false" customHeight="true" outlineLevel="0" collapsed="false">
      <c r="A44" s="6" t="n">
        <v>32</v>
      </c>
      <c r="B44" s="7" t="str">
        <f aca="false">IFERROR(INDEX('Line Stats'!$A$6:$A$69,MATCH(A44,'Line Stats'!$W$6:$W$69,0)),"")</f>
        <v/>
      </c>
      <c r="C44" s="6" t="str">
        <f aca="false">IF(B44="","",INDEX('Line Stats'!$B$6:$B$69,MATCH(B44,'Line Stats'!$A$6:$A$69,0)))</f>
        <v/>
      </c>
      <c r="D44" s="8" t="str">
        <f aca="false">IF(B44="","",IFERROR(ROUND(SUMIF('Line Stats'!$A$6:$A$69,B44,'Line Stats'!$Y$6:$Y$69)/SUMIF('Line Stats'!$A$6:$A$69,B44,'Line Stats'!$Z$6:$Z$69),1),""))</f>
        <v/>
      </c>
      <c r="E44" s="11" t="str">
        <f aca="false">IF(B44="","",ROUND(AVERAGEIF('Line Stats'!$A$6:$A$69,B44,'Line Stats'!$J$6:$J$69),1))</f>
        <v/>
      </c>
      <c r="F44" s="11" t="str">
        <f aca="false">IF(B44="","",IFERROR(ROUND(AVERAGEIF('Line Stats'!$A$6:$A$69,C44,'Line Stats'!$P$6:$P$69),1),""))</f>
        <v/>
      </c>
      <c r="G44" s="7" t="str">
        <f aca="false">IF(B44="","",IFERROR(INDEX('Line Stats'!$C$6:$C$69,MATCH(_xlfn.MAXIFS('Line Stats'!$X$6:$X$69,'Line Stats'!$A$6:$A$69,B44),'Line Stats'!$X$6:$X$69,0)),""))</f>
        <v/>
      </c>
      <c r="H44" s="11" t="str">
        <f aca="false">IF(B44="","",IFERROR(INDEX('Line Stats'!$S$6:$S$69,MATCH(_xlfn.MAXIFS('Line Stats'!$X$6:$X$69,'Line Stats'!$A$6:$A$69,B44),'Line Stats'!$X$6:$X$69,0)),""))</f>
        <v/>
      </c>
      <c r="I44" s="9" t="str">
        <f aca="false">IF(B44="","",IF(D44="","No usable data",IF(D44&gt;=Settings!$B$11,"HIGH — strong scoring spot. Lean team total over / stack "&amp;G44&amp;".",IF(D44&gt;=Settings!$B$12,"MEDIUM — playable; focus on "&amp;G44&amp;".","LOW — tough scoring night."))))</f>
        <v/>
      </c>
    </row>
  </sheetData>
  <mergeCells count="8">
    <mergeCell ref="A1:I1"/>
    <mergeCell ref="A2:I2"/>
    <mergeCell ref="A4:I4"/>
    <mergeCell ref="G5:I5"/>
    <mergeCell ref="G6:I6"/>
    <mergeCell ref="G7:I7"/>
    <mergeCell ref="G8:I8"/>
    <mergeCell ref="A11:I11"/>
  </mergeCells>
  <conditionalFormatting sqref="A6:F8">
    <cfRule type="expression" priority="2" aboveAverage="0" equalAverage="0" bottom="0" percent="0" rank="0" text="" dxfId="0">
      <formula>$F6="HIGH"</formula>
    </cfRule>
  </conditionalFormatting>
  <conditionalFormatting sqref="D13:E4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3:H4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3:F44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13:C44">
    <cfRule type="expression" priority="6" aboveAverage="0" equalAverage="0" bottom="0" percent="0" rank="0" text="" dxfId="0">
      <formula>AND($D13&lt;&gt;"",$D13&gt;=Settings!$B$11)</formula>
    </cfRule>
  </conditionalFormatting>
  <conditionalFormatting sqref="G13:I44">
    <cfRule type="expression" priority="7" aboveAverage="0" equalAverage="0" bottom="0" percent="0" rank="0" text="" dxfId="0">
      <formula>AND($D13&lt;&gt;"",$D13&gt;=Settings!$B$11)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" min="3" style="1" width="12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16" min="7" style="1" width="8.5"/>
    <col collapsed="false" customWidth="true" hidden="false" outlineLevel="0" max="18" min="17" style="1" width="10"/>
    <col collapsed="false" customWidth="true" hidden="false" outlineLevel="0" max="19" min="19" style="1" width="60"/>
  </cols>
  <sheetData>
    <row r="1" customFormat="false" ht="17.2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31.5" hidden="false" customHeight="true" outlineLevel="0" collapsed="false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customFormat="false" ht="15" hidden="false" customHeight="true" outlineLevel="0" collapsed="false">
      <c r="A3" s="13" t="s">
        <v>18</v>
      </c>
      <c r="B3" s="14" t="s">
        <v>19</v>
      </c>
    </row>
    <row r="4" customFormat="false" ht="15" hidden="false" customHeight="true" outlineLevel="0" collapsed="false">
      <c r="A4" s="5" t="s">
        <v>20</v>
      </c>
      <c r="B4" s="5"/>
      <c r="C4" s="5"/>
      <c r="D4" s="5"/>
      <c r="E4" s="5"/>
      <c r="F4" s="5"/>
      <c r="G4" s="15" t="s">
        <v>21</v>
      </c>
      <c r="H4" s="15"/>
      <c r="I4" s="15" t="s">
        <v>22</v>
      </c>
      <c r="J4" s="15"/>
      <c r="K4" s="15" t="s">
        <v>23</v>
      </c>
      <c r="L4" s="15"/>
      <c r="M4" s="15" t="s">
        <v>24</v>
      </c>
      <c r="N4" s="15"/>
      <c r="O4" s="5" t="s">
        <v>25</v>
      </c>
      <c r="P4" s="5"/>
      <c r="Q4" s="16" t="s">
        <v>26</v>
      </c>
      <c r="R4" s="16"/>
      <c r="S4" s="16"/>
    </row>
    <row r="5" customFormat="false" ht="30" hidden="false" customHeight="true" outlineLevel="0" collapsed="false">
      <c r="A5" s="5" t="s">
        <v>3</v>
      </c>
      <c r="B5" s="5" t="s">
        <v>27</v>
      </c>
      <c r="C5" s="5" t="s">
        <v>28</v>
      </c>
      <c r="D5" s="5" t="s">
        <v>5</v>
      </c>
      <c r="E5" s="5" t="s">
        <v>29</v>
      </c>
      <c r="F5" s="5" t="s">
        <v>30</v>
      </c>
      <c r="G5" s="15" t="s">
        <v>31</v>
      </c>
      <c r="H5" s="15" t="s">
        <v>32</v>
      </c>
      <c r="I5" s="15" t="s">
        <v>31</v>
      </c>
      <c r="J5" s="15" t="s">
        <v>32</v>
      </c>
      <c r="K5" s="15" t="s">
        <v>31</v>
      </c>
      <c r="L5" s="15" t="s">
        <v>32</v>
      </c>
      <c r="M5" s="15" t="s">
        <v>31</v>
      </c>
      <c r="N5" s="15" t="s">
        <v>32</v>
      </c>
      <c r="O5" s="5" t="s">
        <v>31</v>
      </c>
      <c r="P5" s="5" t="s">
        <v>32</v>
      </c>
      <c r="Q5" s="16" t="s">
        <v>33</v>
      </c>
      <c r="R5" s="16" t="s">
        <v>34</v>
      </c>
      <c r="S5" s="16" t="s">
        <v>35</v>
      </c>
    </row>
    <row r="6" customFormat="false" ht="31.5" hidden="false" customHeight="true" outlineLevel="0" collapsed="false">
      <c r="A6" s="17" t="s">
        <v>36</v>
      </c>
      <c r="B6" s="18" t="s">
        <v>37</v>
      </c>
      <c r="C6" s="17" t="s">
        <v>38</v>
      </c>
      <c r="D6" s="17" t="s">
        <v>39</v>
      </c>
      <c r="E6" s="19"/>
      <c r="F6" s="19"/>
      <c r="G6" s="20"/>
      <c r="H6" s="21"/>
      <c r="I6" s="20"/>
      <c r="J6" s="21"/>
      <c r="K6" s="20"/>
      <c r="L6" s="21"/>
      <c r="M6" s="20"/>
      <c r="N6" s="21"/>
      <c r="O6" s="20"/>
      <c r="P6" s="21"/>
      <c r="Q6" s="7" t="str">
        <f aca="false">IF(COUNT(H6,J6,L6,N6)&lt;4,"",IF(MIN(H6,J6,L6,N6)=H6,"LW",IF(MIN(H6,J6,L6,N6)=J6,"RW",IF(MIN(H6,J6,L6,N6)=L6,"C","D"))))</f>
        <v/>
      </c>
      <c r="R6" s="7" t="str">
        <f aca="false">IF(COUNT(H6,J6,L6,N6)&lt;4,"",IF(MAX(H6,J6,L6,N6)=H6,"LW",IF(MAX(H6,J6,L6,N6)=J6,"RW",IF(MAX(H6,J6,L6,N6)=L6,"C","D"))))</f>
        <v/>
      </c>
      <c r="S6" s="9" t="str">
        <f aca="false">IF(B6="","",IF(Q6="","Splits not loaded yet — run wcs_goalie_update.py (or no NHL history for this goalie).",IF(F6&lt;Settings!$B$20,"SMALL SAMPLE — ","")&amp;"Weakest vs "&amp;IF(Q6="LW","left wingers",IF(Q6="RW","right wingers",IF(Q6="C","centers","defensemen (point shots)")))&amp;" ("&amp;TEXT(MIN(H6,J6,L6,N6),"+0.00;-0.00")&amp;" GSAx/100). "&amp;IF(MIN(H6,J6,L6,N6)&lt;0,"Target: "&amp;D6&amp;" "&amp;IF(Q6="D","D-men shooting from the point","players at "&amp;Q6)&amp;IF(IFERROR(INDEX('Team Outlook'!$G$13:$G$44,MATCH(D6,'Team Outlook'!$B$13:$B$44,0)),"")="",""," — best "&amp;D6&amp;" line tonight: "&amp;IFERROR(INDEX('Team Outlook'!$G$13:$G$44,MATCH(D6,'Team Outlook'!$B$13:$B$44,0)),""))&amp;".","No real hole — above expected at every position.")))</f>
        <v>Splits not loaded yet — run wcs_goalie_update.py (or no NHL history for this goalie).</v>
      </c>
    </row>
    <row r="7" customFormat="false" ht="31.5" hidden="false" customHeight="true" outlineLevel="0" collapsed="false">
      <c r="A7" s="17" t="s">
        <v>39</v>
      </c>
      <c r="B7" s="18" t="s">
        <v>40</v>
      </c>
      <c r="C7" s="17" t="s">
        <v>41</v>
      </c>
      <c r="D7" s="17" t="s">
        <v>36</v>
      </c>
      <c r="E7" s="19"/>
      <c r="F7" s="19"/>
      <c r="G7" s="20"/>
      <c r="H7" s="21"/>
      <c r="I7" s="20"/>
      <c r="J7" s="21"/>
      <c r="K7" s="20"/>
      <c r="L7" s="21"/>
      <c r="M7" s="20"/>
      <c r="N7" s="21"/>
      <c r="O7" s="20"/>
      <c r="P7" s="21"/>
      <c r="Q7" s="7" t="str">
        <f aca="false">IF(COUNT(H7,J7,L7,N7)&lt;4,"",IF(MIN(H7,J7,L7,N7)=H7,"LW",IF(MIN(H7,J7,L7,N7)=J7,"RW",IF(MIN(H7,J7,L7,N7)=L7,"C","D"))))</f>
        <v/>
      </c>
      <c r="R7" s="7" t="str">
        <f aca="false">IF(COUNT(H7,J7,L7,N7)&lt;4,"",IF(MAX(H7,J7,L7,N7)=H7,"LW",IF(MAX(H7,J7,L7,N7)=J7,"RW",IF(MAX(H7,J7,L7,N7)=L7,"C","D"))))</f>
        <v/>
      </c>
      <c r="S7" s="9" t="str">
        <f aca="false">IF(B7="","",IF(Q7="","Splits not loaded yet — run wcs_goalie_update.py (or no NHL history for this goalie).",IF(F7&lt;Settings!$B$20,"SMALL SAMPLE — ","")&amp;"Weakest vs "&amp;IF(Q7="LW","left wingers",IF(Q7="RW","right wingers",IF(Q7="C","centers","defensemen (point shots)")))&amp;" ("&amp;TEXT(MIN(H7,J7,L7,N7),"+0.00;-0.00")&amp;" GSAx/100). "&amp;IF(MIN(H7,J7,L7,N7)&lt;0,"Target: "&amp;D7&amp;" "&amp;IF(Q7="D","D-men shooting from the point","players at "&amp;Q7)&amp;IF(IFERROR(INDEX('Team Outlook'!$G$13:$G$44,MATCH(D7,'Team Outlook'!$B$13:$B$44,0)),"")="",""," — best "&amp;D7&amp;" line tonight: "&amp;IFERROR(INDEX('Team Outlook'!$G$13:$G$44,MATCH(D7,'Team Outlook'!$B$13:$B$44,0)),""))&amp;".","No real hole — above expected at every position.")))</f>
        <v>Splits not loaded yet — run wcs_goalie_update.py (or no NHL history for this goalie).</v>
      </c>
    </row>
    <row r="8" customFormat="false" ht="31.5" hidden="false" customHeight="true" outlineLevel="0" collapsed="false">
      <c r="A8" s="17" t="s">
        <v>42</v>
      </c>
      <c r="B8" s="18" t="s">
        <v>43</v>
      </c>
      <c r="C8" s="17" t="s">
        <v>44</v>
      </c>
      <c r="D8" s="17" t="s">
        <v>45</v>
      </c>
      <c r="E8" s="19"/>
      <c r="F8" s="19"/>
      <c r="G8" s="20"/>
      <c r="H8" s="21"/>
      <c r="I8" s="20"/>
      <c r="J8" s="21"/>
      <c r="K8" s="20"/>
      <c r="L8" s="21"/>
      <c r="M8" s="20"/>
      <c r="N8" s="21"/>
      <c r="O8" s="20"/>
      <c r="P8" s="21"/>
      <c r="Q8" s="7" t="str">
        <f aca="false">IF(COUNT(H8,J8,L8,N8)&lt;4,"",IF(MIN(H8,J8,L8,N8)=H8,"LW",IF(MIN(H8,J8,L8,N8)=J8,"RW",IF(MIN(H8,J8,L8,N8)=L8,"C","D"))))</f>
        <v/>
      </c>
      <c r="R8" s="7" t="str">
        <f aca="false">IF(COUNT(H8,J8,L8,N8)&lt;4,"",IF(MAX(H8,J8,L8,N8)=H8,"LW",IF(MAX(H8,J8,L8,N8)=J8,"RW",IF(MAX(H8,J8,L8,N8)=L8,"C","D"))))</f>
        <v/>
      </c>
      <c r="S8" s="9" t="str">
        <f aca="false">IF(B8="","",IF(Q8="","Splits not loaded yet — run wcs_goalie_update.py (or no NHL history for this goalie).",IF(F8&lt;Settings!$B$20,"SMALL SAMPLE — ","")&amp;"Weakest vs "&amp;IF(Q8="LW","left wingers",IF(Q8="RW","right wingers",IF(Q8="C","centers","defensemen (point shots)")))&amp;" ("&amp;TEXT(MIN(H8,J8,L8,N8),"+0.00;-0.00")&amp;" GSAx/100). "&amp;IF(MIN(H8,J8,L8,N8)&lt;0,"Target: "&amp;D8&amp;" "&amp;IF(Q8="D","D-men shooting from the point","players at "&amp;Q8)&amp;IF(IFERROR(INDEX('Team Outlook'!$G$13:$G$44,MATCH(D8,'Team Outlook'!$B$13:$B$44,0)),"")="",""," — best "&amp;D8&amp;" line tonight: "&amp;IFERROR(INDEX('Team Outlook'!$G$13:$G$44,MATCH(D8,'Team Outlook'!$B$13:$B$44,0)),""))&amp;".","No real hole — above expected at every position.")))</f>
        <v>Splits not loaded yet — run wcs_goalie_update.py (or no NHL history for this goalie).</v>
      </c>
    </row>
    <row r="9" customFormat="false" ht="31.5" hidden="false" customHeight="true" outlineLevel="0" collapsed="false">
      <c r="A9" s="17" t="s">
        <v>45</v>
      </c>
      <c r="B9" s="18" t="s">
        <v>46</v>
      </c>
      <c r="C9" s="17" t="s">
        <v>44</v>
      </c>
      <c r="D9" s="17" t="s">
        <v>42</v>
      </c>
      <c r="E9" s="19"/>
      <c r="F9" s="19"/>
      <c r="G9" s="20"/>
      <c r="H9" s="21"/>
      <c r="I9" s="20"/>
      <c r="J9" s="21"/>
      <c r="K9" s="20"/>
      <c r="L9" s="21"/>
      <c r="M9" s="20"/>
      <c r="N9" s="21"/>
      <c r="O9" s="20"/>
      <c r="P9" s="21"/>
      <c r="Q9" s="7" t="str">
        <f aca="false">IF(COUNT(H9,J9,L9,N9)&lt;4,"",IF(MIN(H9,J9,L9,N9)=H9,"LW",IF(MIN(H9,J9,L9,N9)=J9,"RW",IF(MIN(H9,J9,L9,N9)=L9,"C","D"))))</f>
        <v/>
      </c>
      <c r="R9" s="7" t="str">
        <f aca="false">IF(COUNT(H9,J9,L9,N9)&lt;4,"",IF(MAX(H9,J9,L9,N9)=H9,"LW",IF(MAX(H9,J9,L9,N9)=J9,"RW",IF(MAX(H9,J9,L9,N9)=L9,"C","D"))))</f>
        <v/>
      </c>
      <c r="S9" s="9" t="str">
        <f aca="false">IF(B9="","",IF(Q9="","Splits not loaded yet — run wcs_goalie_update.py (or no NHL history for this goalie).",IF(F9&lt;Settings!$B$20,"SMALL SAMPLE — ","")&amp;"Weakest vs "&amp;IF(Q9="LW","left wingers",IF(Q9="RW","right wingers",IF(Q9="C","centers","defensemen (point shots)")))&amp;" ("&amp;TEXT(MIN(H9,J9,L9,N9),"+0.00;-0.00")&amp;" GSAx/100). "&amp;IF(MIN(H9,J9,L9,N9)&lt;0,"Target: "&amp;D9&amp;" "&amp;IF(Q9="D","D-men shooting from the point","players at "&amp;Q9)&amp;IF(IFERROR(INDEX('Team Outlook'!$G$13:$G$44,MATCH(D9,'Team Outlook'!$B$13:$B$44,0)),"")="",""," — best "&amp;D9&amp;" line tonight: "&amp;IFERROR(INDEX('Team Outlook'!$G$13:$G$44,MATCH(D9,'Team Outlook'!$B$13:$B$44,0)),""))&amp;".","No real hole — above expected at every position.")))</f>
        <v>Splits not loaded yet — run wcs_goalie_update.py (or no NHL history for this goalie).</v>
      </c>
    </row>
    <row r="10" customFormat="false" ht="31.5" hidden="false" customHeight="true" outlineLevel="0" collapsed="false">
      <c r="A10" s="17" t="s">
        <v>47</v>
      </c>
      <c r="B10" s="18" t="s">
        <v>48</v>
      </c>
      <c r="C10" s="17" t="s">
        <v>44</v>
      </c>
      <c r="D10" s="17" t="s">
        <v>49</v>
      </c>
      <c r="E10" s="19"/>
      <c r="F10" s="19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7" t="str">
        <f aca="false">IF(COUNT(H10,J10,L10,N10)&lt;4,"",IF(MIN(H10,J10,L10,N10)=H10,"LW",IF(MIN(H10,J10,L10,N10)=J10,"RW",IF(MIN(H10,J10,L10,N10)=L10,"C","D"))))</f>
        <v/>
      </c>
      <c r="R10" s="7" t="str">
        <f aca="false">IF(COUNT(H10,J10,L10,N10)&lt;4,"",IF(MAX(H10,J10,L10,N10)=H10,"LW",IF(MAX(H10,J10,L10,N10)=J10,"RW",IF(MAX(H10,J10,L10,N10)=L10,"C","D"))))</f>
        <v/>
      </c>
      <c r="S10" s="9" t="str">
        <f aca="false">IF(B10="","",IF(Q10="","Splits not loaded yet — run wcs_goalie_update.py (or no NHL history for this goalie).",IF(F10&lt;Settings!$B$20,"SMALL SAMPLE — ","")&amp;"Weakest vs "&amp;IF(Q10="LW","left wingers",IF(Q10="RW","right wingers",IF(Q10="C","centers","defensemen (point shots)")))&amp;" ("&amp;TEXT(MIN(H10,J10,L10,N10),"+0.00;-0.00")&amp;" GSAx/100). "&amp;IF(MIN(H10,J10,L10,N10)&lt;0,"Target: "&amp;D10&amp;" "&amp;IF(Q10="D","D-men shooting from the point","players at "&amp;Q10)&amp;IF(IFERROR(INDEX('Team Outlook'!$G$13:$G$44,MATCH(D10,'Team Outlook'!$B$13:$B$44,0)),"")="",""," — best "&amp;D10&amp;" line tonight: "&amp;IFERROR(INDEX('Team Outlook'!$G$13:$G$44,MATCH(D10,'Team Outlook'!$B$13:$B$44,0)),""))&amp;".","No real hole — above expected at every position.")))</f>
        <v>Splits not loaded yet — run wcs_goalie_update.py (or no NHL history for this goalie).</v>
      </c>
    </row>
    <row r="11" customFormat="false" ht="31.5" hidden="false" customHeight="true" outlineLevel="0" collapsed="false">
      <c r="A11" s="17" t="s">
        <v>49</v>
      </c>
      <c r="B11" s="18" t="s">
        <v>50</v>
      </c>
      <c r="C11" s="17" t="s">
        <v>44</v>
      </c>
      <c r="D11" s="17" t="s">
        <v>47</v>
      </c>
      <c r="E11" s="19"/>
      <c r="F11" s="19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7" t="str">
        <f aca="false">IF(COUNT(H11,J11,L11,N11)&lt;4,"",IF(MIN(H11,J11,L11,N11)=H11,"LW",IF(MIN(H11,J11,L11,N11)=J11,"RW",IF(MIN(H11,J11,L11,N11)=L11,"C","D"))))</f>
        <v/>
      </c>
      <c r="R11" s="7" t="str">
        <f aca="false">IF(COUNT(H11,J11,L11,N11)&lt;4,"",IF(MAX(H11,J11,L11,N11)=H11,"LW",IF(MAX(H11,J11,L11,N11)=J11,"RW",IF(MAX(H11,J11,L11,N11)=L11,"C","D"))))</f>
        <v/>
      </c>
      <c r="S11" s="9" t="str">
        <f aca="false">IF(B11="","",IF(Q11="","Splits not loaded yet — run wcs_goalie_update.py (or no NHL history for this goalie).",IF(F11&lt;Settings!$B$20,"SMALL SAMPLE — ","")&amp;"Weakest vs "&amp;IF(Q11="LW","left wingers",IF(Q11="RW","right wingers",IF(Q11="C","centers","defensemen (point shots)")))&amp;" ("&amp;TEXT(MIN(H11,J11,L11,N11),"+0.00;-0.00")&amp;" GSAx/100). "&amp;IF(MIN(H11,J11,L11,N11)&lt;0,"Target: "&amp;D11&amp;" "&amp;IF(Q11="D","D-men shooting from the point","players at "&amp;Q11)&amp;IF(IFERROR(INDEX('Team Outlook'!$G$13:$G$44,MATCH(D11,'Team Outlook'!$B$13:$B$44,0)),"")="",""," — best "&amp;D11&amp;" line tonight: "&amp;IFERROR(INDEX('Team Outlook'!$G$13:$G$44,MATCH(D11,'Team Outlook'!$B$13:$B$44,0)),""))&amp;".","No real hole — above expected at every position.")))</f>
        <v>Splits not loaded yet — run wcs_goalie_update.py (or no NHL history for this goalie).</v>
      </c>
    </row>
    <row r="12" customFormat="false" ht="31.5" hidden="false" customHeight="true" outlineLevel="0" collapsed="false">
      <c r="A12" s="17"/>
      <c r="B12" s="18"/>
      <c r="C12" s="17"/>
      <c r="D12" s="17"/>
      <c r="E12" s="19"/>
      <c r="F12" s="19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7" t="str">
        <f aca="false">IF(COUNT(H12,J12,L12,N12)&lt;4,"",IF(MIN(H12,J12,L12,N12)=H12,"LW",IF(MIN(H12,J12,L12,N12)=J12,"RW",IF(MIN(H12,J12,L12,N12)=L12,"C","D"))))</f>
        <v/>
      </c>
      <c r="R12" s="7" t="str">
        <f aca="false">IF(COUNT(H12,J12,L12,N12)&lt;4,"",IF(MAX(H12,J12,L12,N12)=H12,"LW",IF(MAX(H12,J12,L12,N12)=J12,"RW",IF(MAX(H12,J12,L12,N12)=L12,"C","D"))))</f>
        <v/>
      </c>
      <c r="S12" s="9" t="str">
        <f aca="false">IF(B12="","",IF(Q12="","Splits not loaded yet — run wcs_goalie_update.py (or no NHL history for this goalie).",IF(F12&lt;Settings!$B$20,"SMALL SAMPLE — ","")&amp;"Weakest vs "&amp;IF(Q12="LW","left wingers",IF(Q12="RW","right wingers",IF(Q12="C","centers","defensemen (point shots)")))&amp;" ("&amp;TEXT(MIN(H12,J12,L12,N12),"+0.00;-0.00")&amp;" GSAx/100). "&amp;IF(MIN(H12,J12,L12,N12)&lt;0,"Target: "&amp;D12&amp;" "&amp;IF(Q12="D","D-men shooting from the point","players at "&amp;Q12)&amp;IF(IFERROR(INDEX('Team Outlook'!$G$13:$G$44,MATCH(D12,'Team Outlook'!$B$13:$B$44,0)),"")="",""," — best "&amp;D12&amp;" line tonight: "&amp;IFERROR(INDEX('Team Outlook'!$G$13:$G$44,MATCH(D12,'Team Outlook'!$B$13:$B$44,0)),""))&amp;".","No real hole — above expected at every position.")))</f>
        <v/>
      </c>
    </row>
    <row r="13" customFormat="false" ht="31.5" hidden="false" customHeight="true" outlineLevel="0" collapsed="false">
      <c r="A13" s="17"/>
      <c r="B13" s="18"/>
      <c r="C13" s="17"/>
      <c r="D13" s="17"/>
      <c r="E13" s="19"/>
      <c r="F13" s="19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7" t="str">
        <f aca="false">IF(COUNT(H13,J13,L13,N13)&lt;4,"",IF(MIN(H13,J13,L13,N13)=H13,"LW",IF(MIN(H13,J13,L13,N13)=J13,"RW",IF(MIN(H13,J13,L13,N13)=L13,"C","D"))))</f>
        <v/>
      </c>
      <c r="R13" s="7" t="str">
        <f aca="false">IF(COUNT(H13,J13,L13,N13)&lt;4,"",IF(MAX(H13,J13,L13,N13)=H13,"LW",IF(MAX(H13,J13,L13,N13)=J13,"RW",IF(MAX(H13,J13,L13,N13)=L13,"C","D"))))</f>
        <v/>
      </c>
      <c r="S13" s="9" t="str">
        <f aca="false">IF(B13="","",IF(Q13="","Splits not loaded yet — run wcs_goalie_update.py (or no NHL history for this goalie).",IF(F13&lt;Settings!$B$20,"SMALL SAMPLE — ","")&amp;"Weakest vs "&amp;IF(Q13="LW","left wingers",IF(Q13="RW","right wingers",IF(Q13="C","centers","defensemen (point shots)")))&amp;" ("&amp;TEXT(MIN(H13,J13,L13,N13),"+0.00;-0.00")&amp;" GSAx/100). "&amp;IF(MIN(H13,J13,L13,N13)&lt;0,"Target: "&amp;D13&amp;" "&amp;IF(Q13="D","D-men shooting from the point","players at "&amp;Q13)&amp;IF(IFERROR(INDEX('Team Outlook'!$G$13:$G$44,MATCH(D13,'Team Outlook'!$B$13:$B$44,0)),"")="",""," — best "&amp;D13&amp;" line tonight: "&amp;IFERROR(INDEX('Team Outlook'!$G$13:$G$44,MATCH(D13,'Team Outlook'!$B$13:$B$44,0)),""))&amp;".","No real hole — above expected at every position.")))</f>
        <v/>
      </c>
    </row>
    <row r="14" customFormat="false" ht="31.5" hidden="false" customHeight="true" outlineLevel="0" collapsed="false">
      <c r="A14" s="17"/>
      <c r="B14" s="18"/>
      <c r="C14" s="17"/>
      <c r="D14" s="17"/>
      <c r="E14" s="19"/>
      <c r="F14" s="19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7" t="str">
        <f aca="false">IF(COUNT(H14,J14,L14,N14)&lt;4,"",IF(MIN(H14,J14,L14,N14)=H14,"LW",IF(MIN(H14,J14,L14,N14)=J14,"RW",IF(MIN(H14,J14,L14,N14)=L14,"C","D"))))</f>
        <v/>
      </c>
      <c r="R14" s="7" t="str">
        <f aca="false">IF(COUNT(H14,J14,L14,N14)&lt;4,"",IF(MAX(H14,J14,L14,N14)=H14,"LW",IF(MAX(H14,J14,L14,N14)=J14,"RW",IF(MAX(H14,J14,L14,N14)=L14,"C","D"))))</f>
        <v/>
      </c>
      <c r="S14" s="9" t="str">
        <f aca="false">IF(B14="","",IF(Q14="","Splits not loaded yet — run wcs_goalie_update.py (or no NHL history for this goalie).",IF(F14&lt;Settings!$B$20,"SMALL SAMPLE — ","")&amp;"Weakest vs "&amp;IF(Q14="LW","left wingers",IF(Q14="RW","right wingers",IF(Q14="C","centers","defensemen (point shots)")))&amp;" ("&amp;TEXT(MIN(H14,J14,L14,N14),"+0.00;-0.00")&amp;" GSAx/100). "&amp;IF(MIN(H14,J14,L14,N14)&lt;0,"Target: "&amp;D14&amp;" "&amp;IF(Q14="D","D-men shooting from the point","players at "&amp;Q14)&amp;IF(IFERROR(INDEX('Team Outlook'!$G$13:$G$44,MATCH(D14,'Team Outlook'!$B$13:$B$44,0)),"")="",""," — best "&amp;D14&amp;" line tonight: "&amp;IFERROR(INDEX('Team Outlook'!$G$13:$G$44,MATCH(D14,'Team Outlook'!$B$13:$B$44,0)),""))&amp;".","No real hole — above expected at every position.")))</f>
        <v/>
      </c>
    </row>
    <row r="15" customFormat="false" ht="31.5" hidden="false" customHeight="true" outlineLevel="0" collapsed="false">
      <c r="A15" s="17"/>
      <c r="B15" s="18"/>
      <c r="C15" s="17"/>
      <c r="D15" s="17"/>
      <c r="E15" s="19"/>
      <c r="F15" s="19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7" t="str">
        <f aca="false">IF(COUNT(H15,J15,L15,N15)&lt;4,"",IF(MIN(H15,J15,L15,N15)=H15,"LW",IF(MIN(H15,J15,L15,N15)=J15,"RW",IF(MIN(H15,J15,L15,N15)=L15,"C","D"))))</f>
        <v/>
      </c>
      <c r="R15" s="7" t="str">
        <f aca="false">IF(COUNT(H15,J15,L15,N15)&lt;4,"",IF(MAX(H15,J15,L15,N15)=H15,"LW",IF(MAX(H15,J15,L15,N15)=J15,"RW",IF(MAX(H15,J15,L15,N15)=L15,"C","D"))))</f>
        <v/>
      </c>
      <c r="S15" s="9" t="str">
        <f aca="false">IF(B15="","",IF(Q15="","Splits not loaded yet — run wcs_goalie_update.py (or no NHL history for this goalie).",IF(F15&lt;Settings!$B$20,"SMALL SAMPLE — ","")&amp;"Weakest vs "&amp;IF(Q15="LW","left wingers",IF(Q15="RW","right wingers",IF(Q15="C","centers","defensemen (point shots)")))&amp;" ("&amp;TEXT(MIN(H15,J15,L15,N15),"+0.00;-0.00")&amp;" GSAx/100). "&amp;IF(MIN(H15,J15,L15,N15)&lt;0,"Target: "&amp;D15&amp;" "&amp;IF(Q15="D","D-men shooting from the point","players at "&amp;Q15)&amp;IF(IFERROR(INDEX('Team Outlook'!$G$13:$G$44,MATCH(D15,'Team Outlook'!$B$13:$B$44,0)),"")="",""," — best "&amp;D15&amp;" line tonight: "&amp;IFERROR(INDEX('Team Outlook'!$G$13:$G$44,MATCH(D15,'Team Outlook'!$B$13:$B$44,0)),""))&amp;".","No real hole — above expected at every position.")))</f>
        <v/>
      </c>
    </row>
    <row r="16" customFormat="false" ht="31.5" hidden="false" customHeight="true" outlineLevel="0" collapsed="false">
      <c r="A16" s="17"/>
      <c r="B16" s="18"/>
      <c r="C16" s="17"/>
      <c r="D16" s="17"/>
      <c r="E16" s="19"/>
      <c r="F16" s="19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7" t="str">
        <f aca="false">IF(COUNT(H16,J16,L16,N16)&lt;4,"",IF(MIN(H16,J16,L16,N16)=H16,"LW",IF(MIN(H16,J16,L16,N16)=J16,"RW",IF(MIN(H16,J16,L16,N16)=L16,"C","D"))))</f>
        <v/>
      </c>
      <c r="R16" s="7" t="str">
        <f aca="false">IF(COUNT(H16,J16,L16,N16)&lt;4,"",IF(MAX(H16,J16,L16,N16)=H16,"LW",IF(MAX(H16,J16,L16,N16)=J16,"RW",IF(MAX(H16,J16,L16,N16)=L16,"C","D"))))</f>
        <v/>
      </c>
      <c r="S16" s="9" t="str">
        <f aca="false">IF(B16="","",IF(Q16="","Splits not loaded yet — run wcs_goalie_update.py (or no NHL history for this goalie).",IF(F16&lt;Settings!$B$20,"SMALL SAMPLE — ","")&amp;"Weakest vs "&amp;IF(Q16="LW","left wingers",IF(Q16="RW","right wingers",IF(Q16="C","centers","defensemen (point shots)")))&amp;" ("&amp;TEXT(MIN(H16,J16,L16,N16),"+0.00;-0.00")&amp;" GSAx/100). "&amp;IF(MIN(H16,J16,L16,N16)&lt;0,"Target: "&amp;D16&amp;" "&amp;IF(Q16="D","D-men shooting from the point","players at "&amp;Q16)&amp;IF(IFERROR(INDEX('Team Outlook'!$G$13:$G$44,MATCH(D16,'Team Outlook'!$B$13:$B$44,0)),"")="",""," — best "&amp;D16&amp;" line tonight: "&amp;IFERROR(INDEX('Team Outlook'!$G$13:$G$44,MATCH(D16,'Team Outlook'!$B$13:$B$44,0)),""))&amp;".","No real hole — above expected at every position.")))</f>
        <v/>
      </c>
    </row>
    <row r="17" customFormat="false" ht="31.5" hidden="false" customHeight="true" outlineLevel="0" collapsed="false">
      <c r="A17" s="17"/>
      <c r="B17" s="18"/>
      <c r="C17" s="17"/>
      <c r="D17" s="17"/>
      <c r="E17" s="19"/>
      <c r="F17" s="19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7" t="str">
        <f aca="false">IF(COUNT(H17,J17,L17,N17)&lt;4,"",IF(MIN(H17,J17,L17,N17)=H17,"LW",IF(MIN(H17,J17,L17,N17)=J17,"RW",IF(MIN(H17,J17,L17,N17)=L17,"C","D"))))</f>
        <v/>
      </c>
      <c r="R17" s="7" t="str">
        <f aca="false">IF(COUNT(H17,J17,L17,N17)&lt;4,"",IF(MAX(H17,J17,L17,N17)=H17,"LW",IF(MAX(H17,J17,L17,N17)=J17,"RW",IF(MAX(H17,J17,L17,N17)=L17,"C","D"))))</f>
        <v/>
      </c>
      <c r="S17" s="9" t="str">
        <f aca="false">IF(B17="","",IF(Q17="","Splits not loaded yet — run wcs_goalie_update.py (or no NHL history for this goalie).",IF(F17&lt;Settings!$B$20,"SMALL SAMPLE — ","")&amp;"Weakest vs "&amp;IF(Q17="LW","left wingers",IF(Q17="RW","right wingers",IF(Q17="C","centers","defensemen (point shots)")))&amp;" ("&amp;TEXT(MIN(H17,J17,L17,N17),"+0.00;-0.00")&amp;" GSAx/100). "&amp;IF(MIN(H17,J17,L17,N17)&lt;0,"Target: "&amp;D17&amp;" "&amp;IF(Q17="D","D-men shooting from the point","players at "&amp;Q17)&amp;IF(IFERROR(INDEX('Team Outlook'!$G$13:$G$44,MATCH(D17,'Team Outlook'!$B$13:$B$44,0)),"")="",""," — best "&amp;D17&amp;" line tonight: "&amp;IFERROR(INDEX('Team Outlook'!$G$13:$G$44,MATCH(D17,'Team Outlook'!$B$13:$B$44,0)),""))&amp;".","No real hole — above expected at every position.")))</f>
        <v/>
      </c>
    </row>
    <row r="18" customFormat="false" ht="31.5" hidden="false" customHeight="true" outlineLevel="0" collapsed="false">
      <c r="A18" s="17"/>
      <c r="B18" s="18"/>
      <c r="C18" s="17"/>
      <c r="D18" s="17"/>
      <c r="E18" s="19"/>
      <c r="F18" s="19"/>
      <c r="G18" s="20"/>
      <c r="H18" s="21"/>
      <c r="I18" s="20"/>
      <c r="J18" s="21"/>
      <c r="K18" s="20"/>
      <c r="L18" s="21"/>
      <c r="M18" s="20"/>
      <c r="N18" s="21"/>
      <c r="O18" s="20"/>
      <c r="P18" s="21"/>
      <c r="Q18" s="7" t="str">
        <f aca="false">IF(COUNT(H18,J18,L18,N18)&lt;4,"",IF(MIN(H18,J18,L18,N18)=H18,"LW",IF(MIN(H18,J18,L18,N18)=J18,"RW",IF(MIN(H18,J18,L18,N18)=L18,"C","D"))))</f>
        <v/>
      </c>
      <c r="R18" s="7" t="str">
        <f aca="false">IF(COUNT(H18,J18,L18,N18)&lt;4,"",IF(MAX(H18,J18,L18,N18)=H18,"LW",IF(MAX(H18,J18,L18,N18)=J18,"RW",IF(MAX(H18,J18,L18,N18)=L18,"C","D"))))</f>
        <v/>
      </c>
      <c r="S18" s="9" t="str">
        <f aca="false">IF(B18="","",IF(Q18="","Splits not loaded yet — run wcs_goalie_update.py (or no NHL history for this goalie).",IF(F18&lt;Settings!$B$20,"SMALL SAMPLE — ","")&amp;"Weakest vs "&amp;IF(Q18="LW","left wingers",IF(Q18="RW","right wingers",IF(Q18="C","centers","defensemen (point shots)")))&amp;" ("&amp;TEXT(MIN(H18,J18,L18,N18),"+0.00;-0.00")&amp;" GSAx/100). "&amp;IF(MIN(H18,J18,L18,N18)&lt;0,"Target: "&amp;D18&amp;" "&amp;IF(Q18="D","D-men shooting from the point","players at "&amp;Q18)&amp;IF(IFERROR(INDEX('Team Outlook'!$G$13:$G$44,MATCH(D18,'Team Outlook'!$B$13:$B$44,0)),"")="",""," — best "&amp;D18&amp;" line tonight: "&amp;IFERROR(INDEX('Team Outlook'!$G$13:$G$44,MATCH(D18,'Team Outlook'!$B$13:$B$44,0)),""))&amp;".","No real hole — above expected at every position.")))</f>
        <v/>
      </c>
    </row>
    <row r="19" customFormat="false" ht="31.5" hidden="false" customHeight="true" outlineLevel="0" collapsed="false">
      <c r="A19" s="17"/>
      <c r="B19" s="18"/>
      <c r="C19" s="17"/>
      <c r="D19" s="17"/>
      <c r="E19" s="19"/>
      <c r="F19" s="19"/>
      <c r="G19" s="20"/>
      <c r="H19" s="21"/>
      <c r="I19" s="20"/>
      <c r="J19" s="21"/>
      <c r="K19" s="20"/>
      <c r="L19" s="21"/>
      <c r="M19" s="20"/>
      <c r="N19" s="21"/>
      <c r="O19" s="20"/>
      <c r="P19" s="21"/>
      <c r="Q19" s="7" t="str">
        <f aca="false">IF(COUNT(H19,J19,L19,N19)&lt;4,"",IF(MIN(H19,J19,L19,N19)=H19,"LW",IF(MIN(H19,J19,L19,N19)=J19,"RW",IF(MIN(H19,J19,L19,N19)=L19,"C","D"))))</f>
        <v/>
      </c>
      <c r="R19" s="7" t="str">
        <f aca="false">IF(COUNT(H19,J19,L19,N19)&lt;4,"",IF(MAX(H19,J19,L19,N19)=H19,"LW",IF(MAX(H19,J19,L19,N19)=J19,"RW",IF(MAX(H19,J19,L19,N19)=L19,"C","D"))))</f>
        <v/>
      </c>
      <c r="S19" s="9" t="str">
        <f aca="false">IF(B19="","",IF(Q19="","Splits not loaded yet — run wcs_goalie_update.py (or no NHL history for this goalie).",IF(F19&lt;Settings!$B$20,"SMALL SAMPLE — ","")&amp;"Weakest vs "&amp;IF(Q19="LW","left wingers",IF(Q19="RW","right wingers",IF(Q19="C","centers","defensemen (point shots)")))&amp;" ("&amp;TEXT(MIN(H19,J19,L19,N19),"+0.00;-0.00")&amp;" GSAx/100). "&amp;IF(MIN(H19,J19,L19,N19)&lt;0,"Target: "&amp;D19&amp;" "&amp;IF(Q19="D","D-men shooting from the point","players at "&amp;Q19)&amp;IF(IFERROR(INDEX('Team Outlook'!$G$13:$G$44,MATCH(D19,'Team Outlook'!$B$13:$B$44,0)),"")="",""," — best "&amp;D19&amp;" line tonight: "&amp;IFERROR(INDEX('Team Outlook'!$G$13:$G$44,MATCH(D19,'Team Outlook'!$B$13:$B$44,0)),""))&amp;".","No real hole — above expected at every position.")))</f>
        <v/>
      </c>
    </row>
    <row r="20" customFormat="false" ht="31.5" hidden="false" customHeight="true" outlineLevel="0" collapsed="false">
      <c r="A20" s="17"/>
      <c r="B20" s="18"/>
      <c r="C20" s="17"/>
      <c r="D20" s="17"/>
      <c r="E20" s="19"/>
      <c r="F20" s="19"/>
      <c r="G20" s="20"/>
      <c r="H20" s="21"/>
      <c r="I20" s="20"/>
      <c r="J20" s="21"/>
      <c r="K20" s="20"/>
      <c r="L20" s="21"/>
      <c r="M20" s="20"/>
      <c r="N20" s="21"/>
      <c r="O20" s="20"/>
      <c r="P20" s="21"/>
      <c r="Q20" s="7" t="str">
        <f aca="false">IF(COUNT(H20,J20,L20,N20)&lt;4,"",IF(MIN(H20,J20,L20,N20)=H20,"LW",IF(MIN(H20,J20,L20,N20)=J20,"RW",IF(MIN(H20,J20,L20,N20)=L20,"C","D"))))</f>
        <v/>
      </c>
      <c r="R20" s="7" t="str">
        <f aca="false">IF(COUNT(H20,J20,L20,N20)&lt;4,"",IF(MAX(H20,J20,L20,N20)=H20,"LW",IF(MAX(H20,J20,L20,N20)=J20,"RW",IF(MAX(H20,J20,L20,N20)=L20,"C","D"))))</f>
        <v/>
      </c>
      <c r="S20" s="9" t="str">
        <f aca="false">IF(B20="","",IF(Q20="","Splits not loaded yet — run wcs_goalie_update.py (or no NHL history for this goalie).",IF(F20&lt;Settings!$B$20,"SMALL SAMPLE — ","")&amp;"Weakest vs "&amp;IF(Q20="LW","left wingers",IF(Q20="RW","right wingers",IF(Q20="C","centers","defensemen (point shots)")))&amp;" ("&amp;TEXT(MIN(H20,J20,L20,N20),"+0.00;-0.00")&amp;" GSAx/100). "&amp;IF(MIN(H20,J20,L20,N20)&lt;0,"Target: "&amp;D20&amp;" "&amp;IF(Q20="D","D-men shooting from the point","players at "&amp;Q20)&amp;IF(IFERROR(INDEX('Team Outlook'!$G$13:$G$44,MATCH(D20,'Team Outlook'!$B$13:$B$44,0)),"")="",""," — best "&amp;D20&amp;" line tonight: "&amp;IFERROR(INDEX('Team Outlook'!$G$13:$G$44,MATCH(D20,'Team Outlook'!$B$13:$B$44,0)),""))&amp;".","No real hole — above expected at every position.")))</f>
        <v/>
      </c>
    </row>
    <row r="21" customFormat="false" ht="31.5" hidden="false" customHeight="true" outlineLevel="0" collapsed="false">
      <c r="A21" s="17"/>
      <c r="B21" s="18"/>
      <c r="C21" s="17"/>
      <c r="D21" s="17"/>
      <c r="E21" s="19"/>
      <c r="F21" s="19"/>
      <c r="G21" s="20"/>
      <c r="H21" s="21"/>
      <c r="I21" s="20"/>
      <c r="J21" s="21"/>
      <c r="K21" s="20"/>
      <c r="L21" s="21"/>
      <c r="M21" s="20"/>
      <c r="N21" s="21"/>
      <c r="O21" s="20"/>
      <c r="P21" s="21"/>
      <c r="Q21" s="7" t="str">
        <f aca="false">IF(COUNT(H21,J21,L21,N21)&lt;4,"",IF(MIN(H21,J21,L21,N21)=H21,"LW",IF(MIN(H21,J21,L21,N21)=J21,"RW",IF(MIN(H21,J21,L21,N21)=L21,"C","D"))))</f>
        <v/>
      </c>
      <c r="R21" s="7" t="str">
        <f aca="false">IF(COUNT(H21,J21,L21,N21)&lt;4,"",IF(MAX(H21,J21,L21,N21)=H21,"LW",IF(MAX(H21,J21,L21,N21)=J21,"RW",IF(MAX(H21,J21,L21,N21)=L21,"C","D"))))</f>
        <v/>
      </c>
      <c r="S21" s="9" t="str">
        <f aca="false">IF(B21="","",IF(Q21="","Splits not loaded yet — run wcs_goalie_update.py (or no NHL history for this goalie).",IF(F21&lt;Settings!$B$20,"SMALL SAMPLE — ","")&amp;"Weakest vs "&amp;IF(Q21="LW","left wingers",IF(Q21="RW","right wingers",IF(Q21="C","centers","defensemen (point shots)")))&amp;" ("&amp;TEXT(MIN(H21,J21,L21,N21),"+0.00;-0.00")&amp;" GSAx/100). "&amp;IF(MIN(H21,J21,L21,N21)&lt;0,"Target: "&amp;D21&amp;" "&amp;IF(Q21="D","D-men shooting from the point","players at "&amp;Q21)&amp;IF(IFERROR(INDEX('Team Outlook'!$G$13:$G$44,MATCH(D21,'Team Outlook'!$B$13:$B$44,0)),"")="",""," — best "&amp;D21&amp;" line tonight: "&amp;IFERROR(INDEX('Team Outlook'!$G$13:$G$44,MATCH(D21,'Team Outlook'!$B$13:$B$44,0)),""))&amp;".","No real hole — above expected at every position.")))</f>
        <v/>
      </c>
    </row>
    <row r="22" customFormat="false" ht="31.5" hidden="false" customHeight="true" outlineLevel="0" collapsed="false">
      <c r="A22" s="17"/>
      <c r="B22" s="18"/>
      <c r="C22" s="17"/>
      <c r="D22" s="17"/>
      <c r="E22" s="19"/>
      <c r="F22" s="19"/>
      <c r="G22" s="20"/>
      <c r="H22" s="21"/>
      <c r="I22" s="20"/>
      <c r="J22" s="21"/>
      <c r="K22" s="20"/>
      <c r="L22" s="21"/>
      <c r="M22" s="20"/>
      <c r="N22" s="21"/>
      <c r="O22" s="20"/>
      <c r="P22" s="21"/>
      <c r="Q22" s="7" t="str">
        <f aca="false">IF(COUNT(H22,J22,L22,N22)&lt;4,"",IF(MIN(H22,J22,L22,N22)=H22,"LW",IF(MIN(H22,J22,L22,N22)=J22,"RW",IF(MIN(H22,J22,L22,N22)=L22,"C","D"))))</f>
        <v/>
      </c>
      <c r="R22" s="7" t="str">
        <f aca="false">IF(COUNT(H22,J22,L22,N22)&lt;4,"",IF(MAX(H22,J22,L22,N22)=H22,"LW",IF(MAX(H22,J22,L22,N22)=J22,"RW",IF(MAX(H22,J22,L22,N22)=L22,"C","D"))))</f>
        <v/>
      </c>
      <c r="S22" s="9" t="str">
        <f aca="false">IF(B22="","",IF(Q22="","Splits not loaded yet — run wcs_goalie_update.py (or no NHL history for this goalie).",IF(F22&lt;Settings!$B$20,"SMALL SAMPLE — ","")&amp;"Weakest vs "&amp;IF(Q22="LW","left wingers",IF(Q22="RW","right wingers",IF(Q22="C","centers","defensemen (point shots)")))&amp;" ("&amp;TEXT(MIN(H22,J22,L22,N22),"+0.00;-0.00")&amp;" GSAx/100). "&amp;IF(MIN(H22,J22,L22,N22)&lt;0,"Target: "&amp;D22&amp;" "&amp;IF(Q22="D","D-men shooting from the point","players at "&amp;Q22)&amp;IF(IFERROR(INDEX('Team Outlook'!$G$13:$G$44,MATCH(D22,'Team Outlook'!$B$13:$B$44,0)),"")="",""," — best "&amp;D22&amp;" line tonight: "&amp;IFERROR(INDEX('Team Outlook'!$G$13:$G$44,MATCH(D22,'Team Outlook'!$B$13:$B$44,0)),""))&amp;".","No real hole — above expected at every position.")))</f>
        <v/>
      </c>
    </row>
    <row r="23" customFormat="false" ht="31.5" hidden="false" customHeight="true" outlineLevel="0" collapsed="false">
      <c r="A23" s="17"/>
      <c r="B23" s="18"/>
      <c r="C23" s="17"/>
      <c r="D23" s="17"/>
      <c r="E23" s="19"/>
      <c r="F23" s="19"/>
      <c r="G23" s="20"/>
      <c r="H23" s="21"/>
      <c r="I23" s="20"/>
      <c r="J23" s="21"/>
      <c r="K23" s="20"/>
      <c r="L23" s="21"/>
      <c r="M23" s="20"/>
      <c r="N23" s="21"/>
      <c r="O23" s="20"/>
      <c r="P23" s="21"/>
      <c r="Q23" s="7" t="str">
        <f aca="false">IF(COUNT(H23,J23,L23,N23)&lt;4,"",IF(MIN(H23,J23,L23,N23)=H23,"LW",IF(MIN(H23,J23,L23,N23)=J23,"RW",IF(MIN(H23,J23,L23,N23)=L23,"C","D"))))</f>
        <v/>
      </c>
      <c r="R23" s="7" t="str">
        <f aca="false">IF(COUNT(H23,J23,L23,N23)&lt;4,"",IF(MAX(H23,J23,L23,N23)=H23,"LW",IF(MAX(H23,J23,L23,N23)=J23,"RW",IF(MAX(H23,J23,L23,N23)=L23,"C","D"))))</f>
        <v/>
      </c>
      <c r="S23" s="9" t="str">
        <f aca="false">IF(B23="","",IF(Q23="","Splits not loaded yet — run wcs_goalie_update.py (or no NHL history for this goalie).",IF(F23&lt;Settings!$B$20,"SMALL SAMPLE — ","")&amp;"Weakest vs "&amp;IF(Q23="LW","left wingers",IF(Q23="RW","right wingers",IF(Q23="C","centers","defensemen (point shots)")))&amp;" ("&amp;TEXT(MIN(H23,J23,L23,N23),"+0.00;-0.00")&amp;" GSAx/100). "&amp;IF(MIN(H23,J23,L23,N23)&lt;0,"Target: "&amp;D23&amp;" "&amp;IF(Q23="D","D-men shooting from the point","players at "&amp;Q23)&amp;IF(IFERROR(INDEX('Team Outlook'!$G$13:$G$44,MATCH(D23,'Team Outlook'!$B$13:$B$44,0)),"")="",""," — best "&amp;D23&amp;" line tonight: "&amp;IFERROR(INDEX('Team Outlook'!$G$13:$G$44,MATCH(D23,'Team Outlook'!$B$13:$B$44,0)),""))&amp;".","No real hole — above expected at every position.")))</f>
        <v/>
      </c>
    </row>
    <row r="24" customFormat="false" ht="31.5" hidden="false" customHeight="true" outlineLevel="0" collapsed="false">
      <c r="A24" s="17"/>
      <c r="B24" s="18"/>
      <c r="C24" s="17"/>
      <c r="D24" s="17"/>
      <c r="E24" s="19"/>
      <c r="F24" s="19"/>
      <c r="G24" s="20"/>
      <c r="H24" s="21"/>
      <c r="I24" s="20"/>
      <c r="J24" s="21"/>
      <c r="K24" s="20"/>
      <c r="L24" s="21"/>
      <c r="M24" s="20"/>
      <c r="N24" s="21"/>
      <c r="O24" s="20"/>
      <c r="P24" s="21"/>
      <c r="Q24" s="7" t="str">
        <f aca="false">IF(COUNT(H24,J24,L24,N24)&lt;4,"",IF(MIN(H24,J24,L24,N24)=H24,"LW",IF(MIN(H24,J24,L24,N24)=J24,"RW",IF(MIN(H24,J24,L24,N24)=L24,"C","D"))))</f>
        <v/>
      </c>
      <c r="R24" s="7" t="str">
        <f aca="false">IF(COUNT(H24,J24,L24,N24)&lt;4,"",IF(MAX(H24,J24,L24,N24)=H24,"LW",IF(MAX(H24,J24,L24,N24)=J24,"RW",IF(MAX(H24,J24,L24,N24)=L24,"C","D"))))</f>
        <v/>
      </c>
      <c r="S24" s="9" t="str">
        <f aca="false">IF(B24="","",IF(Q24="","Splits not loaded yet — run wcs_goalie_update.py (or no NHL history for this goalie).",IF(F24&lt;Settings!$B$20,"SMALL SAMPLE — ","")&amp;"Weakest vs "&amp;IF(Q24="LW","left wingers",IF(Q24="RW","right wingers",IF(Q24="C","centers","defensemen (point shots)")))&amp;" ("&amp;TEXT(MIN(H24,J24,L24,N24),"+0.00;-0.00")&amp;" GSAx/100). "&amp;IF(MIN(H24,J24,L24,N24)&lt;0,"Target: "&amp;D24&amp;" "&amp;IF(Q24="D","D-men shooting from the point","players at "&amp;Q24)&amp;IF(IFERROR(INDEX('Team Outlook'!$G$13:$G$44,MATCH(D24,'Team Outlook'!$B$13:$B$44,0)),"")="",""," — best "&amp;D24&amp;" line tonight: "&amp;IFERROR(INDEX('Team Outlook'!$G$13:$G$44,MATCH(D24,'Team Outlook'!$B$13:$B$44,0)),""))&amp;".","No real hole — above expected at every position.")))</f>
        <v/>
      </c>
    </row>
    <row r="25" customFormat="false" ht="31.5" hidden="false" customHeight="true" outlineLevel="0" collapsed="false">
      <c r="A25" s="17"/>
      <c r="B25" s="18"/>
      <c r="C25" s="17"/>
      <c r="D25" s="17"/>
      <c r="E25" s="19"/>
      <c r="F25" s="19"/>
      <c r="G25" s="20"/>
      <c r="H25" s="21"/>
      <c r="I25" s="20"/>
      <c r="J25" s="21"/>
      <c r="K25" s="20"/>
      <c r="L25" s="21"/>
      <c r="M25" s="20"/>
      <c r="N25" s="21"/>
      <c r="O25" s="20"/>
      <c r="P25" s="21"/>
      <c r="Q25" s="7" t="str">
        <f aca="false">IF(COUNT(H25,J25,L25,N25)&lt;4,"",IF(MIN(H25,J25,L25,N25)=H25,"LW",IF(MIN(H25,J25,L25,N25)=J25,"RW",IF(MIN(H25,J25,L25,N25)=L25,"C","D"))))</f>
        <v/>
      </c>
      <c r="R25" s="7" t="str">
        <f aca="false">IF(COUNT(H25,J25,L25,N25)&lt;4,"",IF(MAX(H25,J25,L25,N25)=H25,"LW",IF(MAX(H25,J25,L25,N25)=J25,"RW",IF(MAX(H25,J25,L25,N25)=L25,"C","D"))))</f>
        <v/>
      </c>
      <c r="S25" s="9" t="str">
        <f aca="false">IF(B25="","",IF(Q25="","Splits not loaded yet — run wcs_goalie_update.py (or no NHL history for this goalie).",IF(F25&lt;Settings!$B$20,"SMALL SAMPLE — ","")&amp;"Weakest vs "&amp;IF(Q25="LW","left wingers",IF(Q25="RW","right wingers",IF(Q25="C","centers","defensemen (point shots)")))&amp;" ("&amp;TEXT(MIN(H25,J25,L25,N25),"+0.00;-0.00")&amp;" GSAx/100). "&amp;IF(MIN(H25,J25,L25,N25)&lt;0,"Target: "&amp;D25&amp;" "&amp;IF(Q25="D","D-men shooting from the point","players at "&amp;Q25)&amp;IF(IFERROR(INDEX('Team Outlook'!$G$13:$G$44,MATCH(D25,'Team Outlook'!$B$13:$B$44,0)),"")="",""," — best "&amp;D25&amp;" line tonight: "&amp;IFERROR(INDEX('Team Outlook'!$G$13:$G$44,MATCH(D25,'Team Outlook'!$B$13:$B$44,0)),""))&amp;".","No real hole — above expected at every position.")))</f>
        <v/>
      </c>
    </row>
    <row r="26" customFormat="false" ht="31.5" hidden="false" customHeight="true" outlineLevel="0" collapsed="false">
      <c r="A26" s="17"/>
      <c r="B26" s="18"/>
      <c r="C26" s="17"/>
      <c r="D26" s="17"/>
      <c r="E26" s="19"/>
      <c r="F26" s="19"/>
      <c r="G26" s="20"/>
      <c r="H26" s="21"/>
      <c r="I26" s="20"/>
      <c r="J26" s="21"/>
      <c r="K26" s="20"/>
      <c r="L26" s="21"/>
      <c r="M26" s="20"/>
      <c r="N26" s="21"/>
      <c r="O26" s="20"/>
      <c r="P26" s="21"/>
      <c r="Q26" s="7" t="str">
        <f aca="false">IF(COUNT(H26,J26,L26,N26)&lt;4,"",IF(MIN(H26,J26,L26,N26)=H26,"LW",IF(MIN(H26,J26,L26,N26)=J26,"RW",IF(MIN(H26,J26,L26,N26)=L26,"C","D"))))</f>
        <v/>
      </c>
      <c r="R26" s="7" t="str">
        <f aca="false">IF(COUNT(H26,J26,L26,N26)&lt;4,"",IF(MAX(H26,J26,L26,N26)=H26,"LW",IF(MAX(H26,J26,L26,N26)=J26,"RW",IF(MAX(H26,J26,L26,N26)=L26,"C","D"))))</f>
        <v/>
      </c>
      <c r="S26" s="9" t="str">
        <f aca="false">IF(B26="","",IF(Q26="","Splits not loaded yet — run wcs_goalie_update.py (or no NHL history for this goalie).",IF(F26&lt;Settings!$B$20,"SMALL SAMPLE — ","")&amp;"Weakest vs "&amp;IF(Q26="LW","left wingers",IF(Q26="RW","right wingers",IF(Q26="C","centers","defensemen (point shots)")))&amp;" ("&amp;TEXT(MIN(H26,J26,L26,N26),"+0.00;-0.00")&amp;" GSAx/100). "&amp;IF(MIN(H26,J26,L26,N26)&lt;0,"Target: "&amp;D26&amp;" "&amp;IF(Q26="D","D-men shooting from the point","players at "&amp;Q26)&amp;IF(IFERROR(INDEX('Team Outlook'!$G$13:$G$44,MATCH(D26,'Team Outlook'!$B$13:$B$44,0)),"")="",""," — best "&amp;D26&amp;" line tonight: "&amp;IFERROR(INDEX('Team Outlook'!$G$13:$G$44,MATCH(D26,'Team Outlook'!$B$13:$B$44,0)),""))&amp;".","No real hole — above expected at every position.")))</f>
        <v/>
      </c>
    </row>
    <row r="27" customFormat="false" ht="31.5" hidden="false" customHeight="true" outlineLevel="0" collapsed="false">
      <c r="A27" s="17"/>
      <c r="B27" s="18"/>
      <c r="C27" s="17"/>
      <c r="D27" s="17"/>
      <c r="E27" s="19"/>
      <c r="F27" s="19"/>
      <c r="G27" s="20"/>
      <c r="H27" s="21"/>
      <c r="I27" s="20"/>
      <c r="J27" s="21"/>
      <c r="K27" s="20"/>
      <c r="L27" s="21"/>
      <c r="M27" s="20"/>
      <c r="N27" s="21"/>
      <c r="O27" s="20"/>
      <c r="P27" s="21"/>
      <c r="Q27" s="7" t="str">
        <f aca="false">IF(COUNT(H27,J27,L27,N27)&lt;4,"",IF(MIN(H27,J27,L27,N27)=H27,"LW",IF(MIN(H27,J27,L27,N27)=J27,"RW",IF(MIN(H27,J27,L27,N27)=L27,"C","D"))))</f>
        <v/>
      </c>
      <c r="R27" s="7" t="str">
        <f aca="false">IF(COUNT(H27,J27,L27,N27)&lt;4,"",IF(MAX(H27,J27,L27,N27)=H27,"LW",IF(MAX(H27,J27,L27,N27)=J27,"RW",IF(MAX(H27,J27,L27,N27)=L27,"C","D"))))</f>
        <v/>
      </c>
      <c r="S27" s="9" t="str">
        <f aca="false">IF(B27="","",IF(Q27="","Splits not loaded yet — run wcs_goalie_update.py (or no NHL history for this goalie).",IF(F27&lt;Settings!$B$20,"SMALL SAMPLE — ","")&amp;"Weakest vs "&amp;IF(Q27="LW","left wingers",IF(Q27="RW","right wingers",IF(Q27="C","centers","defensemen (point shots)")))&amp;" ("&amp;TEXT(MIN(H27,J27,L27,N27),"+0.00;-0.00")&amp;" GSAx/100). "&amp;IF(MIN(H27,J27,L27,N27)&lt;0,"Target: "&amp;D27&amp;" "&amp;IF(Q27="D","D-men shooting from the point","players at "&amp;Q27)&amp;IF(IFERROR(INDEX('Team Outlook'!$G$13:$G$44,MATCH(D27,'Team Outlook'!$B$13:$B$44,0)),"")="",""," — best "&amp;D27&amp;" line tonight: "&amp;IFERROR(INDEX('Team Outlook'!$G$13:$G$44,MATCH(D27,'Team Outlook'!$B$13:$B$44,0)),""))&amp;".","No real hole — above expected at every position.")))</f>
        <v/>
      </c>
    </row>
    <row r="28" customFormat="false" ht="31.5" hidden="false" customHeight="true" outlineLevel="0" collapsed="false">
      <c r="A28" s="17"/>
      <c r="B28" s="18"/>
      <c r="C28" s="17"/>
      <c r="D28" s="17"/>
      <c r="E28" s="19"/>
      <c r="F28" s="19"/>
      <c r="G28" s="20"/>
      <c r="H28" s="21"/>
      <c r="I28" s="20"/>
      <c r="J28" s="21"/>
      <c r="K28" s="20"/>
      <c r="L28" s="21"/>
      <c r="M28" s="20"/>
      <c r="N28" s="21"/>
      <c r="O28" s="20"/>
      <c r="P28" s="21"/>
      <c r="Q28" s="7" t="str">
        <f aca="false">IF(COUNT(H28,J28,L28,N28)&lt;4,"",IF(MIN(H28,J28,L28,N28)=H28,"LW",IF(MIN(H28,J28,L28,N28)=J28,"RW",IF(MIN(H28,J28,L28,N28)=L28,"C","D"))))</f>
        <v/>
      </c>
      <c r="R28" s="7" t="str">
        <f aca="false">IF(COUNT(H28,J28,L28,N28)&lt;4,"",IF(MAX(H28,J28,L28,N28)=H28,"LW",IF(MAX(H28,J28,L28,N28)=J28,"RW",IF(MAX(H28,J28,L28,N28)=L28,"C","D"))))</f>
        <v/>
      </c>
      <c r="S28" s="9" t="str">
        <f aca="false">IF(B28="","",IF(Q28="","Splits not loaded yet — run wcs_goalie_update.py (or no NHL history for this goalie).",IF(F28&lt;Settings!$B$20,"SMALL SAMPLE — ","")&amp;"Weakest vs "&amp;IF(Q28="LW","left wingers",IF(Q28="RW","right wingers",IF(Q28="C","centers","defensemen (point shots)")))&amp;" ("&amp;TEXT(MIN(H28,J28,L28,N28),"+0.00;-0.00")&amp;" GSAx/100). "&amp;IF(MIN(H28,J28,L28,N28)&lt;0,"Target: "&amp;D28&amp;" "&amp;IF(Q28="D","D-men shooting from the point","players at "&amp;Q28)&amp;IF(IFERROR(INDEX('Team Outlook'!$G$13:$G$44,MATCH(D28,'Team Outlook'!$B$13:$B$44,0)),"")="",""," — best "&amp;D28&amp;" line tonight: "&amp;IFERROR(INDEX('Team Outlook'!$G$13:$G$44,MATCH(D28,'Team Outlook'!$B$13:$B$44,0)),""))&amp;".","No real hole — above expected at every position.")))</f>
        <v/>
      </c>
    </row>
    <row r="29" customFormat="false" ht="31.5" hidden="false" customHeight="true" outlineLevel="0" collapsed="false">
      <c r="A29" s="17"/>
      <c r="B29" s="18"/>
      <c r="C29" s="17"/>
      <c r="D29" s="17"/>
      <c r="E29" s="19"/>
      <c r="F29" s="19"/>
      <c r="G29" s="20"/>
      <c r="H29" s="21"/>
      <c r="I29" s="20"/>
      <c r="J29" s="21"/>
      <c r="K29" s="20"/>
      <c r="L29" s="21"/>
      <c r="M29" s="20"/>
      <c r="N29" s="21"/>
      <c r="O29" s="20"/>
      <c r="P29" s="21"/>
      <c r="Q29" s="7" t="str">
        <f aca="false">IF(COUNT(H29,J29,L29,N29)&lt;4,"",IF(MIN(H29,J29,L29,N29)=H29,"LW",IF(MIN(H29,J29,L29,N29)=J29,"RW",IF(MIN(H29,J29,L29,N29)=L29,"C","D"))))</f>
        <v/>
      </c>
      <c r="R29" s="7" t="str">
        <f aca="false">IF(COUNT(H29,J29,L29,N29)&lt;4,"",IF(MAX(H29,J29,L29,N29)=H29,"LW",IF(MAX(H29,J29,L29,N29)=J29,"RW",IF(MAX(H29,J29,L29,N29)=L29,"C","D"))))</f>
        <v/>
      </c>
      <c r="S29" s="9" t="str">
        <f aca="false">IF(B29="","",IF(Q29="","Splits not loaded yet — run wcs_goalie_update.py (or no NHL history for this goalie).",IF(F29&lt;Settings!$B$20,"SMALL SAMPLE — ","")&amp;"Weakest vs "&amp;IF(Q29="LW","left wingers",IF(Q29="RW","right wingers",IF(Q29="C","centers","defensemen (point shots)")))&amp;" ("&amp;TEXT(MIN(H29,J29,L29,N29),"+0.00;-0.00")&amp;" GSAx/100). "&amp;IF(MIN(H29,J29,L29,N29)&lt;0,"Target: "&amp;D29&amp;" "&amp;IF(Q29="D","D-men shooting from the point","players at "&amp;Q29)&amp;IF(IFERROR(INDEX('Team Outlook'!$G$13:$G$44,MATCH(D29,'Team Outlook'!$B$13:$B$44,0)),"")="",""," — best "&amp;D29&amp;" line tonight: "&amp;IFERROR(INDEX('Team Outlook'!$G$13:$G$44,MATCH(D29,'Team Outlook'!$B$13:$B$44,0)),""))&amp;".","No real hole — above expected at every position.")))</f>
        <v/>
      </c>
    </row>
    <row r="30" customFormat="false" ht="31.5" hidden="false" customHeight="true" outlineLevel="0" collapsed="false">
      <c r="A30" s="17"/>
      <c r="B30" s="18"/>
      <c r="C30" s="17"/>
      <c r="D30" s="17"/>
      <c r="E30" s="19"/>
      <c r="F30" s="19"/>
      <c r="G30" s="20"/>
      <c r="H30" s="21"/>
      <c r="I30" s="20"/>
      <c r="J30" s="21"/>
      <c r="K30" s="20"/>
      <c r="L30" s="21"/>
      <c r="M30" s="20"/>
      <c r="N30" s="21"/>
      <c r="O30" s="20"/>
      <c r="P30" s="21"/>
      <c r="Q30" s="7" t="str">
        <f aca="false">IF(COUNT(H30,J30,L30,N30)&lt;4,"",IF(MIN(H30,J30,L30,N30)=H30,"LW",IF(MIN(H30,J30,L30,N30)=J30,"RW",IF(MIN(H30,J30,L30,N30)=L30,"C","D"))))</f>
        <v/>
      </c>
      <c r="R30" s="7" t="str">
        <f aca="false">IF(COUNT(H30,J30,L30,N30)&lt;4,"",IF(MAX(H30,J30,L30,N30)=H30,"LW",IF(MAX(H30,J30,L30,N30)=J30,"RW",IF(MAX(H30,J30,L30,N30)=L30,"C","D"))))</f>
        <v/>
      </c>
      <c r="S30" s="9" t="str">
        <f aca="false">IF(B30="","",IF(Q30="","Splits not loaded yet — run wcs_goalie_update.py (or no NHL history for this goalie).",IF(F30&lt;Settings!$B$20,"SMALL SAMPLE — ","")&amp;"Weakest vs "&amp;IF(Q30="LW","left wingers",IF(Q30="RW","right wingers",IF(Q30="C","centers","defensemen (point shots)")))&amp;" ("&amp;TEXT(MIN(H30,J30,L30,N30),"+0.00;-0.00")&amp;" GSAx/100). "&amp;IF(MIN(H30,J30,L30,N30)&lt;0,"Target: "&amp;D30&amp;" "&amp;IF(Q30="D","D-men shooting from the point","players at "&amp;Q30)&amp;IF(IFERROR(INDEX('Team Outlook'!$G$13:$G$44,MATCH(D30,'Team Outlook'!$B$13:$B$44,0)),"")="",""," — best "&amp;D30&amp;" line tonight: "&amp;IFERROR(INDEX('Team Outlook'!$G$13:$G$44,MATCH(D30,'Team Outlook'!$B$13:$B$44,0)),""))&amp;".","No real hole — above expected at every position.")))</f>
        <v/>
      </c>
    </row>
    <row r="31" customFormat="false" ht="31.5" hidden="false" customHeight="true" outlineLevel="0" collapsed="false">
      <c r="A31" s="17"/>
      <c r="B31" s="18"/>
      <c r="C31" s="17"/>
      <c r="D31" s="17"/>
      <c r="E31" s="19"/>
      <c r="F31" s="19"/>
      <c r="G31" s="20"/>
      <c r="H31" s="21"/>
      <c r="I31" s="20"/>
      <c r="J31" s="21"/>
      <c r="K31" s="20"/>
      <c r="L31" s="21"/>
      <c r="M31" s="20"/>
      <c r="N31" s="21"/>
      <c r="O31" s="20"/>
      <c r="P31" s="21"/>
      <c r="Q31" s="7" t="str">
        <f aca="false">IF(COUNT(H31,J31,L31,N31)&lt;4,"",IF(MIN(H31,J31,L31,N31)=H31,"LW",IF(MIN(H31,J31,L31,N31)=J31,"RW",IF(MIN(H31,J31,L31,N31)=L31,"C","D"))))</f>
        <v/>
      </c>
      <c r="R31" s="7" t="str">
        <f aca="false">IF(COUNT(H31,J31,L31,N31)&lt;4,"",IF(MAX(H31,J31,L31,N31)=H31,"LW",IF(MAX(H31,J31,L31,N31)=J31,"RW",IF(MAX(H31,J31,L31,N31)=L31,"C","D"))))</f>
        <v/>
      </c>
      <c r="S31" s="9" t="str">
        <f aca="false">IF(B31="","",IF(Q31="","Splits not loaded yet — run wcs_goalie_update.py (or no NHL history for this goalie).",IF(F31&lt;Settings!$B$20,"SMALL SAMPLE — ","")&amp;"Weakest vs "&amp;IF(Q31="LW","left wingers",IF(Q31="RW","right wingers",IF(Q31="C","centers","defensemen (point shots)")))&amp;" ("&amp;TEXT(MIN(H31,J31,L31,N31),"+0.00;-0.00")&amp;" GSAx/100). "&amp;IF(MIN(H31,J31,L31,N31)&lt;0,"Target: "&amp;D31&amp;" "&amp;IF(Q31="D","D-men shooting from the point","players at "&amp;Q31)&amp;IF(IFERROR(INDEX('Team Outlook'!$G$13:$G$44,MATCH(D31,'Team Outlook'!$B$13:$B$44,0)),"")="",""," — best "&amp;D31&amp;" line tonight: "&amp;IFERROR(INDEX('Team Outlook'!$G$13:$G$44,MATCH(D31,'Team Outlook'!$B$13:$B$44,0)),""))&amp;".","No real hole — above expected at every position.")))</f>
        <v/>
      </c>
    </row>
    <row r="32" customFormat="false" ht="31.5" hidden="false" customHeight="true" outlineLevel="0" collapsed="false">
      <c r="A32" s="17"/>
      <c r="B32" s="18"/>
      <c r="C32" s="17"/>
      <c r="D32" s="17"/>
      <c r="E32" s="19"/>
      <c r="F32" s="19"/>
      <c r="G32" s="20"/>
      <c r="H32" s="21"/>
      <c r="I32" s="20"/>
      <c r="J32" s="21"/>
      <c r="K32" s="20"/>
      <c r="L32" s="21"/>
      <c r="M32" s="20"/>
      <c r="N32" s="21"/>
      <c r="O32" s="20"/>
      <c r="P32" s="21"/>
      <c r="Q32" s="7" t="str">
        <f aca="false">IF(COUNT(H32,J32,L32,N32)&lt;4,"",IF(MIN(H32,J32,L32,N32)=H32,"LW",IF(MIN(H32,J32,L32,N32)=J32,"RW",IF(MIN(H32,J32,L32,N32)=L32,"C","D"))))</f>
        <v/>
      </c>
      <c r="R32" s="7" t="str">
        <f aca="false">IF(COUNT(H32,J32,L32,N32)&lt;4,"",IF(MAX(H32,J32,L32,N32)=H32,"LW",IF(MAX(H32,J32,L32,N32)=J32,"RW",IF(MAX(H32,J32,L32,N32)=L32,"C","D"))))</f>
        <v/>
      </c>
      <c r="S32" s="9" t="str">
        <f aca="false">IF(B32="","",IF(Q32="","Splits not loaded yet — run wcs_goalie_update.py (or no NHL history for this goalie).",IF(F32&lt;Settings!$B$20,"SMALL SAMPLE — ","")&amp;"Weakest vs "&amp;IF(Q32="LW","left wingers",IF(Q32="RW","right wingers",IF(Q32="C","centers","defensemen (point shots)")))&amp;" ("&amp;TEXT(MIN(H32,J32,L32,N32),"+0.00;-0.00")&amp;" GSAx/100). "&amp;IF(MIN(H32,J32,L32,N32)&lt;0,"Target: "&amp;D32&amp;" "&amp;IF(Q32="D","D-men shooting from the point","players at "&amp;Q32)&amp;IF(IFERROR(INDEX('Team Outlook'!$G$13:$G$44,MATCH(D32,'Team Outlook'!$B$13:$B$44,0)),"")="",""," — best "&amp;D32&amp;" line tonight: "&amp;IFERROR(INDEX('Team Outlook'!$G$13:$G$44,MATCH(D32,'Team Outlook'!$B$13:$B$44,0)),""))&amp;".","No real hole — above expected at every position.")))</f>
        <v/>
      </c>
    </row>
    <row r="33" customFormat="false" ht="31.5" hidden="false" customHeight="true" outlineLevel="0" collapsed="false">
      <c r="A33" s="17"/>
      <c r="B33" s="18"/>
      <c r="C33" s="17"/>
      <c r="D33" s="17"/>
      <c r="E33" s="19"/>
      <c r="F33" s="19"/>
      <c r="G33" s="20"/>
      <c r="H33" s="21"/>
      <c r="I33" s="20"/>
      <c r="J33" s="21"/>
      <c r="K33" s="20"/>
      <c r="L33" s="21"/>
      <c r="M33" s="20"/>
      <c r="N33" s="21"/>
      <c r="O33" s="20"/>
      <c r="P33" s="21"/>
      <c r="Q33" s="7" t="str">
        <f aca="false">IF(COUNT(H33,J33,L33,N33)&lt;4,"",IF(MIN(H33,J33,L33,N33)=H33,"LW",IF(MIN(H33,J33,L33,N33)=J33,"RW",IF(MIN(H33,J33,L33,N33)=L33,"C","D"))))</f>
        <v/>
      </c>
      <c r="R33" s="7" t="str">
        <f aca="false">IF(COUNT(H33,J33,L33,N33)&lt;4,"",IF(MAX(H33,J33,L33,N33)=H33,"LW",IF(MAX(H33,J33,L33,N33)=J33,"RW",IF(MAX(H33,J33,L33,N33)=L33,"C","D"))))</f>
        <v/>
      </c>
      <c r="S33" s="9" t="str">
        <f aca="false">IF(B33="","",IF(Q33="","Splits not loaded yet — run wcs_goalie_update.py (or no NHL history for this goalie).",IF(F33&lt;Settings!$B$20,"SMALL SAMPLE — ","")&amp;"Weakest vs "&amp;IF(Q33="LW","left wingers",IF(Q33="RW","right wingers",IF(Q33="C","centers","defensemen (point shots)")))&amp;" ("&amp;TEXT(MIN(H33,J33,L33,N33),"+0.00;-0.00")&amp;" GSAx/100). "&amp;IF(MIN(H33,J33,L33,N33)&lt;0,"Target: "&amp;D33&amp;" "&amp;IF(Q33="D","D-men shooting from the point","players at "&amp;Q33)&amp;IF(IFERROR(INDEX('Team Outlook'!$G$13:$G$44,MATCH(D33,'Team Outlook'!$B$13:$B$44,0)),"")="",""," — best "&amp;D33&amp;" line tonight: "&amp;IFERROR(INDEX('Team Outlook'!$G$13:$G$44,MATCH(D33,'Team Outlook'!$B$13:$B$44,0)),""))&amp;".","No real hole — above expected at every position.")))</f>
        <v/>
      </c>
    </row>
    <row r="34" customFormat="false" ht="31.5" hidden="false" customHeight="true" outlineLevel="0" collapsed="false">
      <c r="A34" s="17"/>
      <c r="B34" s="18"/>
      <c r="C34" s="17"/>
      <c r="D34" s="17"/>
      <c r="E34" s="19"/>
      <c r="F34" s="19"/>
      <c r="G34" s="20"/>
      <c r="H34" s="21"/>
      <c r="I34" s="20"/>
      <c r="J34" s="21"/>
      <c r="K34" s="20"/>
      <c r="L34" s="21"/>
      <c r="M34" s="20"/>
      <c r="N34" s="21"/>
      <c r="O34" s="20"/>
      <c r="P34" s="21"/>
      <c r="Q34" s="7" t="str">
        <f aca="false">IF(COUNT(H34,J34,L34,N34)&lt;4,"",IF(MIN(H34,J34,L34,N34)=H34,"LW",IF(MIN(H34,J34,L34,N34)=J34,"RW",IF(MIN(H34,J34,L34,N34)=L34,"C","D"))))</f>
        <v/>
      </c>
      <c r="R34" s="7" t="str">
        <f aca="false">IF(COUNT(H34,J34,L34,N34)&lt;4,"",IF(MAX(H34,J34,L34,N34)=H34,"LW",IF(MAX(H34,J34,L34,N34)=J34,"RW",IF(MAX(H34,J34,L34,N34)=L34,"C","D"))))</f>
        <v/>
      </c>
      <c r="S34" s="9" t="str">
        <f aca="false">IF(B34="","",IF(Q34="","Splits not loaded yet — run wcs_goalie_update.py (or no NHL history for this goalie).",IF(F34&lt;Settings!$B$20,"SMALL SAMPLE — ","")&amp;"Weakest vs "&amp;IF(Q34="LW","left wingers",IF(Q34="RW","right wingers",IF(Q34="C","centers","defensemen (point shots)")))&amp;" ("&amp;TEXT(MIN(H34,J34,L34,N34),"+0.00;-0.00")&amp;" GSAx/100). "&amp;IF(MIN(H34,J34,L34,N34)&lt;0,"Target: "&amp;D34&amp;" "&amp;IF(Q34="D","D-men shooting from the point","players at "&amp;Q34)&amp;IF(IFERROR(INDEX('Team Outlook'!$G$13:$G$44,MATCH(D34,'Team Outlook'!$B$13:$B$44,0)),"")="",""," — best "&amp;D34&amp;" line tonight: "&amp;IFERROR(INDEX('Team Outlook'!$G$13:$G$44,MATCH(D34,'Team Outlook'!$B$13:$B$44,0)),""))&amp;".","No real hole — above expected at every position.")))</f>
        <v/>
      </c>
    </row>
    <row r="35" customFormat="false" ht="31.5" hidden="false" customHeight="true" outlineLevel="0" collapsed="false">
      <c r="A35" s="17"/>
      <c r="B35" s="18"/>
      <c r="C35" s="17"/>
      <c r="D35" s="17"/>
      <c r="E35" s="19"/>
      <c r="F35" s="19"/>
      <c r="G35" s="20"/>
      <c r="H35" s="21"/>
      <c r="I35" s="20"/>
      <c r="J35" s="21"/>
      <c r="K35" s="20"/>
      <c r="L35" s="21"/>
      <c r="M35" s="20"/>
      <c r="N35" s="21"/>
      <c r="O35" s="20"/>
      <c r="P35" s="21"/>
      <c r="Q35" s="7" t="str">
        <f aca="false">IF(COUNT(H35,J35,L35,N35)&lt;4,"",IF(MIN(H35,J35,L35,N35)=H35,"LW",IF(MIN(H35,J35,L35,N35)=J35,"RW",IF(MIN(H35,J35,L35,N35)=L35,"C","D"))))</f>
        <v/>
      </c>
      <c r="R35" s="7" t="str">
        <f aca="false">IF(COUNT(H35,J35,L35,N35)&lt;4,"",IF(MAX(H35,J35,L35,N35)=H35,"LW",IF(MAX(H35,J35,L35,N35)=J35,"RW",IF(MAX(H35,J35,L35,N35)=L35,"C","D"))))</f>
        <v/>
      </c>
      <c r="S35" s="9" t="str">
        <f aca="false">IF(B35="","",IF(Q35="","Splits not loaded yet — run wcs_goalie_update.py (or no NHL history for this goalie).",IF(F35&lt;Settings!$B$20,"SMALL SAMPLE — ","")&amp;"Weakest vs "&amp;IF(Q35="LW","left wingers",IF(Q35="RW","right wingers",IF(Q35="C","centers","defensemen (point shots)")))&amp;" ("&amp;TEXT(MIN(H35,J35,L35,N35),"+0.00;-0.00")&amp;" GSAx/100). "&amp;IF(MIN(H35,J35,L35,N35)&lt;0,"Target: "&amp;D35&amp;" "&amp;IF(Q35="D","D-men shooting from the point","players at "&amp;Q35)&amp;IF(IFERROR(INDEX('Team Outlook'!$G$13:$G$44,MATCH(D35,'Team Outlook'!$B$13:$B$44,0)),"")="",""," — best "&amp;D35&amp;" line tonight: "&amp;IFERROR(INDEX('Team Outlook'!$G$13:$G$44,MATCH(D35,'Team Outlook'!$B$13:$B$44,0)),""))&amp;".","No real hole — above expected at every position.")))</f>
        <v/>
      </c>
    </row>
    <row r="36" customFormat="false" ht="31.5" hidden="false" customHeight="true" outlineLevel="0" collapsed="false">
      <c r="A36" s="17"/>
      <c r="B36" s="18"/>
      <c r="C36" s="17"/>
      <c r="D36" s="17"/>
      <c r="E36" s="19"/>
      <c r="F36" s="19"/>
      <c r="G36" s="20"/>
      <c r="H36" s="21"/>
      <c r="I36" s="20"/>
      <c r="J36" s="21"/>
      <c r="K36" s="20"/>
      <c r="L36" s="21"/>
      <c r="M36" s="20"/>
      <c r="N36" s="21"/>
      <c r="O36" s="20"/>
      <c r="P36" s="21"/>
      <c r="Q36" s="7" t="str">
        <f aca="false">IF(COUNT(H36,J36,L36,N36)&lt;4,"",IF(MIN(H36,J36,L36,N36)=H36,"LW",IF(MIN(H36,J36,L36,N36)=J36,"RW",IF(MIN(H36,J36,L36,N36)=L36,"C","D"))))</f>
        <v/>
      </c>
      <c r="R36" s="7" t="str">
        <f aca="false">IF(COUNT(H36,J36,L36,N36)&lt;4,"",IF(MAX(H36,J36,L36,N36)=H36,"LW",IF(MAX(H36,J36,L36,N36)=J36,"RW",IF(MAX(H36,J36,L36,N36)=L36,"C","D"))))</f>
        <v/>
      </c>
      <c r="S36" s="9" t="str">
        <f aca="false">IF(B36="","",IF(Q36="","Splits not loaded yet — run wcs_goalie_update.py (or no NHL history for this goalie).",IF(F36&lt;Settings!$B$20,"SMALL SAMPLE — ","")&amp;"Weakest vs "&amp;IF(Q36="LW","left wingers",IF(Q36="RW","right wingers",IF(Q36="C","centers","defensemen (point shots)")))&amp;" ("&amp;TEXT(MIN(H36,J36,L36,N36),"+0.00;-0.00")&amp;" GSAx/100). "&amp;IF(MIN(H36,J36,L36,N36)&lt;0,"Target: "&amp;D36&amp;" "&amp;IF(Q36="D","D-men shooting from the point","players at "&amp;Q36)&amp;IF(IFERROR(INDEX('Team Outlook'!$G$13:$G$44,MATCH(D36,'Team Outlook'!$B$13:$B$44,0)),"")="",""," — best "&amp;D36&amp;" line tonight: "&amp;IFERROR(INDEX('Team Outlook'!$G$13:$G$44,MATCH(D36,'Team Outlook'!$B$13:$B$44,0)),""))&amp;".","No real hole — above expected at every position.")))</f>
        <v/>
      </c>
    </row>
    <row r="37" customFormat="false" ht="31.5" hidden="false" customHeight="true" outlineLevel="0" collapsed="false">
      <c r="A37" s="17"/>
      <c r="B37" s="18"/>
      <c r="C37" s="17"/>
      <c r="D37" s="17"/>
      <c r="E37" s="19"/>
      <c r="F37" s="19"/>
      <c r="G37" s="20"/>
      <c r="H37" s="21"/>
      <c r="I37" s="20"/>
      <c r="J37" s="21"/>
      <c r="K37" s="20"/>
      <c r="L37" s="21"/>
      <c r="M37" s="20"/>
      <c r="N37" s="21"/>
      <c r="O37" s="20"/>
      <c r="P37" s="21"/>
      <c r="Q37" s="7" t="str">
        <f aca="false">IF(COUNT(H37,J37,L37,N37)&lt;4,"",IF(MIN(H37,J37,L37,N37)=H37,"LW",IF(MIN(H37,J37,L37,N37)=J37,"RW",IF(MIN(H37,J37,L37,N37)=L37,"C","D"))))</f>
        <v/>
      </c>
      <c r="R37" s="7" t="str">
        <f aca="false">IF(COUNT(H37,J37,L37,N37)&lt;4,"",IF(MAX(H37,J37,L37,N37)=H37,"LW",IF(MAX(H37,J37,L37,N37)=J37,"RW",IF(MAX(H37,J37,L37,N37)=L37,"C","D"))))</f>
        <v/>
      </c>
      <c r="S37" s="9" t="str">
        <f aca="false">IF(B37="","",IF(Q37="","Splits not loaded yet — run wcs_goalie_update.py (or no NHL history for this goalie).",IF(F37&lt;Settings!$B$20,"SMALL SAMPLE — ","")&amp;"Weakest vs "&amp;IF(Q37="LW","left wingers",IF(Q37="RW","right wingers",IF(Q37="C","centers","defensemen (point shots)")))&amp;" ("&amp;TEXT(MIN(H37,J37,L37,N37),"+0.00;-0.00")&amp;" GSAx/100). "&amp;IF(MIN(H37,J37,L37,N37)&lt;0,"Target: "&amp;D37&amp;" "&amp;IF(Q37="D","D-men shooting from the point","players at "&amp;Q37)&amp;IF(IFERROR(INDEX('Team Outlook'!$G$13:$G$44,MATCH(D37,'Team Outlook'!$B$13:$B$44,0)),"")="",""," — best "&amp;D37&amp;" line tonight: "&amp;IFERROR(INDEX('Team Outlook'!$G$13:$G$44,MATCH(D37,'Team Outlook'!$B$13:$B$44,0)),""))&amp;".","No real hole — above expected at every position.")))</f>
        <v/>
      </c>
    </row>
  </sheetData>
  <mergeCells count="9">
    <mergeCell ref="A1:S1"/>
    <mergeCell ref="A2:S2"/>
    <mergeCell ref="A4:F4"/>
    <mergeCell ref="G4:H4"/>
    <mergeCell ref="I4:J4"/>
    <mergeCell ref="K4:L4"/>
    <mergeCell ref="M4:N4"/>
    <mergeCell ref="O4:P4"/>
    <mergeCell ref="Q4:S4"/>
  </mergeCells>
  <conditionalFormatting sqref="G6:G3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6:I3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6:K3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6:M3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6:O3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6:H37">
    <cfRule type="colorScale" priority="7">
      <colorScale>
        <cfvo type="num" val="-3"/>
        <cfvo type="num" val="0"/>
        <cfvo type="num" val="3"/>
        <color rgb="FFF8696B"/>
        <color rgb="FFFFFFFF"/>
        <color rgb="FF63BE7B"/>
      </colorScale>
    </cfRule>
  </conditionalFormatting>
  <conditionalFormatting sqref="J6:J37">
    <cfRule type="colorScale" priority="8">
      <colorScale>
        <cfvo type="num" val="-3"/>
        <cfvo type="num" val="0"/>
        <cfvo type="num" val="3"/>
        <color rgb="FFF8696B"/>
        <color rgb="FFFFFFFF"/>
        <color rgb="FF63BE7B"/>
      </colorScale>
    </cfRule>
  </conditionalFormatting>
  <conditionalFormatting sqref="L6:L37">
    <cfRule type="colorScale" priority="9">
      <colorScale>
        <cfvo type="num" val="-3"/>
        <cfvo type="num" val="0"/>
        <cfvo type="num" val="3"/>
        <color rgb="FFF8696B"/>
        <color rgb="FFFFFFFF"/>
        <color rgb="FF63BE7B"/>
      </colorScale>
    </cfRule>
  </conditionalFormatting>
  <conditionalFormatting sqref="N6:N37">
    <cfRule type="colorScale" priority="10">
      <colorScale>
        <cfvo type="num" val="-3"/>
        <cfvo type="num" val="0"/>
        <cfvo type="num" val="3"/>
        <color rgb="FFF8696B"/>
        <color rgb="FFFFFFFF"/>
        <color rgb="FF63BE7B"/>
      </colorScale>
    </cfRule>
  </conditionalFormatting>
  <conditionalFormatting sqref="P6:P37">
    <cfRule type="colorScale" priority="11">
      <colorScale>
        <cfvo type="num" val="-3"/>
        <cfvo type="num" val="0"/>
        <cfvo type="num" val="3"/>
        <color rgb="FFF8696B"/>
        <color rgb="FFFFFFFF"/>
        <color rgb="FF63BE7B"/>
      </colorScale>
    </cfRule>
  </conditionalFormatting>
  <conditionalFormatting sqref="Q6:Q37">
    <cfRule type="expression" priority="12" aboveAverage="0" equalAverage="0" bottom="0" percent="0" rank="0" text="" dxfId="1">
      <formula>$Q6&lt;&gt;""</formula>
    </cfRule>
  </conditionalFormatting>
  <conditionalFormatting sqref="R6:R37">
    <cfRule type="expression" priority="13" aboveAverage="0" equalAverage="0" bottom="0" percent="0" rank="0" text="" dxfId="2">
      <formula>$R6&lt;&gt;""</formula>
    </cfRule>
  </conditionalFormatting>
  <conditionalFormatting sqref="C6:C37">
    <cfRule type="expression" priority="14" aboveAverage="0" equalAverage="0" bottom="0" percent="0" rank="0" text="" dxfId="3">
      <formula>$C6="Confirmed"</formula>
    </cfRule>
    <cfRule type="expression" priority="15" aboveAverage="0" equalAverage="0" bottom="0" percent="0" rank="0" text="" dxfId="4">
      <formula>$C6="Unconfirmed"</formula>
    </cfRule>
    <cfRule type="expression" priority="16" aboveAverage="0" equalAverage="0" bottom="0" percent="0" rank="0" text="" dxfId="5">
      <formula>OR($C6="Likely",$C6="Expected")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18" min="5" style="1" width="8.5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7"/>
    <col collapsed="false" customWidth="true" hidden="false" outlineLevel="0" max="22" min="22" style="1" width="58"/>
    <col collapsed="false" customWidth="true" hidden="true" outlineLevel="0" max="26" min="23" style="1" width="13"/>
  </cols>
  <sheetData>
    <row r="1" customFormat="false" ht="17.25" hidden="false" customHeight="true" outlineLevel="0" collapsed="false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31.5" hidden="false" customHeight="true" outlineLevel="0" collapsed="false">
      <c r="A2" s="12" t="s">
        <v>52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customFormat="false" ht="15" hidden="false" customHeight="true" outlineLevel="0" collapsed="false">
      <c r="A3" s="13" t="s">
        <v>18</v>
      </c>
      <c r="B3" s="14" t="s">
        <v>19</v>
      </c>
    </row>
    <row r="4" customFormat="false" ht="15" hidden="false" customHeight="true" outlineLevel="0" collapsed="false">
      <c r="A4" s="5" t="s">
        <v>53</v>
      </c>
      <c r="B4" s="5"/>
      <c r="C4" s="5"/>
      <c r="D4" s="5"/>
      <c r="E4" s="22" t="s">
        <v>54</v>
      </c>
      <c r="F4" s="22"/>
      <c r="G4" s="22"/>
      <c r="H4" s="22"/>
      <c r="I4" s="22"/>
      <c r="J4" s="22"/>
      <c r="K4" s="23" t="s">
        <v>55</v>
      </c>
      <c r="L4" s="23"/>
      <c r="M4" s="23"/>
      <c r="N4" s="23"/>
      <c r="O4" s="23"/>
      <c r="P4" s="23"/>
      <c r="Q4" s="15" t="s">
        <v>56</v>
      </c>
      <c r="R4" s="15"/>
      <c r="S4" s="16" t="s">
        <v>57</v>
      </c>
      <c r="T4" s="16"/>
      <c r="U4" s="16"/>
      <c r="V4" s="16"/>
    </row>
    <row r="5" customFormat="false" ht="30" hidden="false" customHeight="true" outlineLevel="0" collapsed="false">
      <c r="A5" s="5" t="s">
        <v>3</v>
      </c>
      <c r="B5" s="5" t="s">
        <v>5</v>
      </c>
      <c r="C5" s="5" t="s">
        <v>4</v>
      </c>
      <c r="D5" s="5" t="s">
        <v>58</v>
      </c>
      <c r="E5" s="22" t="s">
        <v>59</v>
      </c>
      <c r="F5" s="22" t="s">
        <v>60</v>
      </c>
      <c r="G5" s="22" t="s">
        <v>61</v>
      </c>
      <c r="H5" s="22" t="s">
        <v>62</v>
      </c>
      <c r="I5" s="22" t="s">
        <v>63</v>
      </c>
      <c r="J5" s="22" t="s">
        <v>64</v>
      </c>
      <c r="K5" s="23" t="s">
        <v>65</v>
      </c>
      <c r="L5" s="23" t="s">
        <v>66</v>
      </c>
      <c r="M5" s="23" t="s">
        <v>67</v>
      </c>
      <c r="N5" s="23" t="s">
        <v>68</v>
      </c>
      <c r="O5" s="23" t="s">
        <v>69</v>
      </c>
      <c r="P5" s="23" t="s">
        <v>70</v>
      </c>
      <c r="Q5" s="15" t="s">
        <v>71</v>
      </c>
      <c r="R5" s="15" t="s">
        <v>72</v>
      </c>
      <c r="S5" s="16" t="s">
        <v>6</v>
      </c>
      <c r="T5" s="16" t="s">
        <v>7</v>
      </c>
      <c r="U5" s="16" t="s">
        <v>73</v>
      </c>
      <c r="V5" s="16" t="s">
        <v>74</v>
      </c>
      <c r="W5" s="5" t="s">
        <v>75</v>
      </c>
      <c r="X5" s="5" t="s">
        <v>76</v>
      </c>
      <c r="Y5" s="5" t="s">
        <v>77</v>
      </c>
      <c r="Z5" s="5" t="s">
        <v>78</v>
      </c>
    </row>
    <row r="6" customFormat="false" ht="30" hidden="false" customHeight="true" outlineLevel="0" collapsed="false">
      <c r="A6" s="24" t="s">
        <v>45</v>
      </c>
      <c r="B6" s="24" t="s">
        <v>42</v>
      </c>
      <c r="C6" s="24" t="s">
        <v>79</v>
      </c>
      <c r="D6" s="25" t="n">
        <v>16</v>
      </c>
      <c r="E6" s="25" t="n">
        <v>53</v>
      </c>
      <c r="F6" s="25" t="n">
        <v>3.4</v>
      </c>
      <c r="G6" s="25" t="n">
        <v>2.5</v>
      </c>
      <c r="H6" s="25" t="n">
        <v>28.1</v>
      </c>
      <c r="I6" s="25" t="n">
        <v>8.4</v>
      </c>
      <c r="J6" s="25" t="n">
        <v>25</v>
      </c>
      <c r="K6" s="25" t="n">
        <v>57.5</v>
      </c>
      <c r="L6" s="25" t="n">
        <v>3.1</v>
      </c>
      <c r="M6" s="25" t="n">
        <v>2.5</v>
      </c>
      <c r="N6" s="25" t="n">
        <v>24</v>
      </c>
      <c r="O6" s="25" t="n">
        <v>10.1</v>
      </c>
      <c r="P6" s="25" t="n">
        <v>66.7</v>
      </c>
      <c r="Q6" s="26" t="n">
        <v>0.479</v>
      </c>
      <c r="R6" s="26" t="n">
        <v>0.503</v>
      </c>
      <c r="S6" s="8" t="n">
        <f aca="false">IF(A6="","",IF(AND(G6=0,H6=0,I6=0),"",ROUND(100*(Settings!$B$9*(Settings!$B$5*IFERROR(PERCENTRANK($G$6:$G$69,G6),0.5)+Settings!$B$6*IFERROR(PERCENTRANK($I$6:$I$69,I6),0.5)+Settings!$B$7*IFERROR(PERCENTRANK($H$6:$H$69,H6),0.5)+Settings!$B$8*IFERROR(PERCENTRANK($E$6:$E$69,E6),0.5))+Settings!$B$10*(1-IFERROR(AVERAGEIF($A$6:$A$69,B6,$P$6:$P$69)/100,0.5))),1)))</f>
        <v>32.4</v>
      </c>
      <c r="T6" s="7" t="str">
        <f aca="false">IF(A6="","",IF(S6="","LOW SAMPLE",IF(OR(R6&gt;=Settings!$B$18,R6&lt;=1-Settings!$B$18,Q6&gt;=Settings!$B$19,Q6&lt;=1-Settings!$B$19),"CAUTION",IF(S6&gt;=Settings!$B$11,"HIGH",IF(S6&gt;=Settings!$B$12,"MEDIUM","LOW")))))</f>
        <v>LOW</v>
      </c>
      <c r="U6" s="27" t="n">
        <f aca="false">IF(X6="","",RANK(X6,$X$6:$X$69))</f>
        <v>17</v>
      </c>
      <c r="V6" s="9" t="str">
        <f aca="false">IF(A6="","",IF(T6="LOW SAMPLE","Not enough data — this combination has barely played together. Ignore tonight.",IF(T6="CAUTION","CAUTION: extreme CF%/xGF% split — likely a tiny sample, numbers unreliable. Left out of Top 3 and team score. ",T6&amp;" scoring chance. ")&amp;IF(F6-G6&gt;=Settings!$B$13,"Finishing above its xG — regression risk. ",IF(G6-F6&gt;=Settings!$B$13,"Creating more than it scores — due for goals. ","Goals in line with chances. "))&amp;IF(I6&gt;=LARGE($I$6:$I$69,3),"Top-3 high-danger creator on the slate. ","")&amp;"Faces "&amp;B6&amp;" (opp avg D-Score "&amp;TEXT(IFERROR(AVERAGEIF($A$6:$A$69,B6,$P$6:$P$69),0),"0")&amp;")."))</f>
        <v>LOW scoring chance. Goals in line with chances. Faces Penguins (opp avg D-Score 45).</v>
      </c>
      <c r="W6" s="1" t="n">
        <f aca="false">IF(A6="","",IF(COUNTIF($A$6:A6,A6)=1,MAX($W$5:W5)+1,""))</f>
        <v>1</v>
      </c>
      <c r="X6" s="1" t="n">
        <f aca="false">IF(OR(S6="",T6="CAUTION"),"",S6+ROW()/1000000)</f>
        <v>32.400006</v>
      </c>
      <c r="Y6" s="1" t="n">
        <f aca="false">IF(OR(S6="",T6="CAUTION"),0,S6*D6)</f>
        <v>518.4</v>
      </c>
      <c r="Z6" s="28" t="n">
        <f aca="false">IF(OR(S6="",T6="CAUTION"),0,D6)</f>
        <v>16</v>
      </c>
    </row>
    <row r="7" customFormat="false" ht="30" hidden="false" customHeight="true" outlineLevel="0" collapsed="false">
      <c r="A7" s="24" t="s">
        <v>45</v>
      </c>
      <c r="B7" s="24" t="s">
        <v>42</v>
      </c>
      <c r="C7" s="24" t="s">
        <v>80</v>
      </c>
      <c r="D7" s="25" t="n">
        <v>14.3</v>
      </c>
      <c r="E7" s="25" t="n">
        <v>64.2</v>
      </c>
      <c r="F7" s="25" t="n">
        <v>3.3</v>
      </c>
      <c r="G7" s="25" t="n">
        <v>3.3</v>
      </c>
      <c r="H7" s="25" t="n">
        <v>31.4</v>
      </c>
      <c r="I7" s="25" t="n">
        <v>14.7</v>
      </c>
      <c r="J7" s="25" t="n">
        <v>75</v>
      </c>
      <c r="K7" s="25" t="n">
        <v>59.5</v>
      </c>
      <c r="L7" s="25" t="n">
        <v>1.9</v>
      </c>
      <c r="M7" s="25" t="n">
        <v>3</v>
      </c>
      <c r="N7" s="25" t="n">
        <v>29.6</v>
      </c>
      <c r="O7" s="25" t="n">
        <v>14.1</v>
      </c>
      <c r="P7" s="25" t="n">
        <v>29.2</v>
      </c>
      <c r="Q7" s="26" t="n">
        <v>0.519</v>
      </c>
      <c r="R7" s="26" t="n">
        <v>0.526</v>
      </c>
      <c r="S7" s="8" t="n">
        <f aca="false">IF(A7="","",IF(AND(G7=0,H7=0,I7=0),"",ROUND(100*(Settings!$B$9*(Settings!$B$5*IFERROR(PERCENTRANK($G$6:$G$69,G7),0.5)+Settings!$B$6*IFERROR(PERCENTRANK($I$6:$I$69,I7),0.5)+Settings!$B$7*IFERROR(PERCENTRANK($H$6:$H$69,H7),0.5)+Settings!$B$8*IFERROR(PERCENTRANK($E$6:$E$69,E7),0.5))+Settings!$B$10*(1-IFERROR(AVERAGEIF($A$6:$A$69,B7,$P$6:$P$69)/100,0.5))),1)))</f>
        <v>66.3</v>
      </c>
      <c r="T7" s="7" t="str">
        <f aca="false">IF(A7="","",IF(S7="","LOW SAMPLE",IF(OR(R7&gt;=Settings!$B$18,R7&lt;=1-Settings!$B$18,Q7&gt;=Settings!$B$19,Q7&lt;=1-Settings!$B$19),"CAUTION",IF(S7&gt;=Settings!$B$11,"HIGH",IF(S7&gt;=Settings!$B$12,"MEDIUM","LOW")))))</f>
        <v>HIGH</v>
      </c>
      <c r="U7" s="27" t="n">
        <f aca="false">IF(X7="","",RANK(X7,$X$6:$X$69))</f>
        <v>5</v>
      </c>
      <c r="V7" s="9" t="str">
        <f aca="false">IF(A7="","",IF(T7="LOW SAMPLE","Not enough data — this combination has barely played together. Ignore tonight.",IF(T7="CAUTION","CAUTION: extreme CF%/xGF% split — likely a tiny sample, numbers unreliable. Left out of Top 3 and team score. ",T7&amp;" scoring chance. ")&amp;IF(F7-G7&gt;=Settings!$B$13,"Finishing above its xG — regression risk. ",IF(G7-F7&gt;=Settings!$B$13,"Creating more than it scores — due for goals. ","Goals in line with chances. "))&amp;IF(I7&gt;=LARGE($I$6:$I$69,3),"Top-3 high-danger creator on the slate. ","")&amp;"Faces "&amp;B7&amp;" (opp avg D-Score "&amp;TEXT(IFERROR(AVERAGEIF($A$6:$A$69,B7,$P$6:$P$69),0),"0")&amp;")."))</f>
        <v>HIGH scoring chance. Goals in line with chances. Faces Penguins (opp avg D-Score 45).</v>
      </c>
      <c r="W7" s="1" t="str">
        <f aca="false">IF(A7="","",IF(COUNTIF($A$6:A7,A7)=1,MAX($W$5:W6)+1,""))</f>
        <v/>
      </c>
      <c r="X7" s="1" t="n">
        <f aca="false">IF(OR(S7="",T7="CAUTION"),"",S7+ROW()/1000000)</f>
        <v>66.300007</v>
      </c>
      <c r="Y7" s="1" t="n">
        <f aca="false">IF(OR(S7="",T7="CAUTION"),0,S7*D7)</f>
        <v>948.09</v>
      </c>
      <c r="Z7" s="28" t="n">
        <f aca="false">IF(OR(S7="",T7="CAUTION"),0,D7)</f>
        <v>14.3</v>
      </c>
    </row>
    <row r="8" customFormat="false" ht="30" hidden="false" customHeight="true" outlineLevel="0" collapsed="false">
      <c r="A8" s="24" t="s">
        <v>45</v>
      </c>
      <c r="B8" s="24" t="s">
        <v>42</v>
      </c>
      <c r="C8" s="24" t="s">
        <v>81</v>
      </c>
      <c r="D8" s="25" t="n">
        <v>13.5</v>
      </c>
      <c r="E8" s="25" t="n">
        <v>53.8</v>
      </c>
      <c r="F8" s="25" t="n">
        <v>2.7</v>
      </c>
      <c r="G8" s="25" t="n">
        <v>2.8</v>
      </c>
      <c r="H8" s="25" t="n">
        <v>33.6</v>
      </c>
      <c r="I8" s="25" t="n">
        <v>12.1</v>
      </c>
      <c r="J8" s="25" t="n">
        <v>50</v>
      </c>
      <c r="K8" s="25" t="n">
        <v>52.4</v>
      </c>
      <c r="L8" s="25" t="n">
        <v>1.3</v>
      </c>
      <c r="M8" s="25" t="n">
        <v>2.8</v>
      </c>
      <c r="N8" s="25" t="n">
        <v>25.5</v>
      </c>
      <c r="O8" s="25" t="n">
        <v>13.4</v>
      </c>
      <c r="P8" s="25" t="n">
        <v>70.8</v>
      </c>
      <c r="Q8" s="26" t="n">
        <v>0.506</v>
      </c>
      <c r="R8" s="26" t="n">
        <v>0.501</v>
      </c>
      <c r="S8" s="8" t="n">
        <f aca="false">IF(A8="","",IF(AND(G8=0,H8=0,I8=0),"",ROUND(100*(Settings!$B$9*(Settings!$B$5*IFERROR(PERCENTRANK($G$6:$G$69,G8),0.5)+Settings!$B$6*IFERROR(PERCENTRANK($I$6:$I$69,I8),0.5)+Settings!$B$7*IFERROR(PERCENTRANK($H$6:$H$69,H8),0.5)+Settings!$B$8*IFERROR(PERCENTRANK($E$6:$E$69,E8),0.5))+Settings!$B$10*(1-IFERROR(AVERAGEIF($A$6:$A$69,B8,$P$6:$P$69)/100,0.5))),1)))</f>
        <v>48.1</v>
      </c>
      <c r="T8" s="7" t="str">
        <f aca="false">IF(A8="","",IF(S8="","LOW SAMPLE",IF(OR(R8&gt;=Settings!$B$18,R8&lt;=1-Settings!$B$18,Q8&gt;=Settings!$B$19,Q8&lt;=1-Settings!$B$19),"CAUTION",IF(S8&gt;=Settings!$B$11,"HIGH",IF(S8&gt;=Settings!$B$12,"MEDIUM","LOW")))))</f>
        <v>MEDIUM</v>
      </c>
      <c r="U8" s="27" t="n">
        <f aca="false">IF(X8="","",RANK(X8,$X$6:$X$69))</f>
        <v>11</v>
      </c>
      <c r="V8" s="9" t="str">
        <f aca="false">IF(A8="","",IF(T8="LOW SAMPLE","Not enough data — this combination has barely played together. Ignore tonight.",IF(T8="CAUTION","CAUTION: extreme CF%/xGF% split — likely a tiny sample, numbers unreliable. Left out of Top 3 and team score. ",T8&amp;" scoring chance. ")&amp;IF(F8-G8&gt;=Settings!$B$13,"Finishing above its xG — regression risk. ",IF(G8-F8&gt;=Settings!$B$13,"Creating more than it scores — due for goals. ","Goals in line with chances. "))&amp;IF(I8&gt;=LARGE($I$6:$I$69,3),"Top-3 high-danger creator on the slate. ","")&amp;"Faces "&amp;B8&amp;" (opp avg D-Score "&amp;TEXT(IFERROR(AVERAGEIF($A$6:$A$69,B8,$P$6:$P$69),0),"0")&amp;")."))</f>
        <v>MEDIUM scoring chance. Goals in line with chances. Faces Penguins (opp avg D-Score 45).</v>
      </c>
      <c r="W8" s="1" t="str">
        <f aca="false">IF(A8="","",IF(COUNTIF($A$6:A8,A8)=1,MAX($W$5:W7)+1,""))</f>
        <v/>
      </c>
      <c r="X8" s="1" t="n">
        <f aca="false">IF(OR(S8="",T8="CAUTION"),"",S8+ROW()/1000000)</f>
        <v>48.100008</v>
      </c>
      <c r="Y8" s="1" t="n">
        <f aca="false">IF(OR(S8="",T8="CAUTION"),0,S8*D8)</f>
        <v>649.35</v>
      </c>
      <c r="Z8" s="28" t="n">
        <f aca="false">IF(OR(S8="",T8="CAUTION"),0,D8)</f>
        <v>13.5</v>
      </c>
    </row>
    <row r="9" customFormat="false" ht="30" hidden="false" customHeight="true" outlineLevel="0" collapsed="false">
      <c r="A9" s="24" t="s">
        <v>45</v>
      </c>
      <c r="B9" s="24" t="s">
        <v>42</v>
      </c>
      <c r="C9" s="24" t="s">
        <v>82</v>
      </c>
      <c r="D9" s="25" t="n">
        <v>12.3</v>
      </c>
      <c r="E9" s="25" t="n">
        <v>49</v>
      </c>
      <c r="F9" s="25" t="n">
        <v>4.4</v>
      </c>
      <c r="G9" s="25" t="n">
        <v>2.2</v>
      </c>
      <c r="H9" s="25" t="n">
        <v>22.4</v>
      </c>
      <c r="I9" s="25" t="n">
        <v>9.5</v>
      </c>
      <c r="J9" s="25" t="n">
        <v>12.5</v>
      </c>
      <c r="K9" s="25" t="n">
        <v>56.2</v>
      </c>
      <c r="L9" s="25" t="n">
        <v>1.9</v>
      </c>
      <c r="M9" s="25" t="n">
        <v>2.8</v>
      </c>
      <c r="N9" s="25" t="n">
        <v>26.6</v>
      </c>
      <c r="O9" s="25" t="n">
        <v>13.9</v>
      </c>
      <c r="P9" s="25" t="n">
        <v>41.7</v>
      </c>
      <c r="Q9" s="26" t="n">
        <v>0.466</v>
      </c>
      <c r="R9" s="26" t="n">
        <v>0.433</v>
      </c>
      <c r="S9" s="8" t="n">
        <f aca="false">IF(A9="","",IF(AND(G9=0,H9=0,I9=0),"",ROUND(100*(Settings!$B$9*(Settings!$B$5*IFERROR(PERCENTRANK($G$6:$G$69,G9),0.5)+Settings!$B$6*IFERROR(PERCENTRANK($I$6:$I$69,I9),0.5)+Settings!$B$7*IFERROR(PERCENTRANK($H$6:$H$69,H9),0.5)+Settings!$B$8*IFERROR(PERCENTRANK($E$6:$E$69,E9),0.5))+Settings!$B$10*(1-IFERROR(AVERAGEIF($A$6:$A$69,B9,$P$6:$P$69)/100,0.5))),1)))</f>
        <v>27.9</v>
      </c>
      <c r="T9" s="7" t="str">
        <f aca="false">IF(A9="","",IF(S9="","LOW SAMPLE",IF(OR(R9&gt;=Settings!$B$18,R9&lt;=1-Settings!$B$18,Q9&gt;=Settings!$B$19,Q9&lt;=1-Settings!$B$19),"CAUTION",IF(S9&gt;=Settings!$B$11,"HIGH",IF(S9&gt;=Settings!$B$12,"MEDIUM","LOW")))))</f>
        <v>LOW</v>
      </c>
      <c r="U9" s="27" t="n">
        <f aca="false">IF(X9="","",RANK(X9,$X$6:$X$69))</f>
        <v>18</v>
      </c>
      <c r="V9" s="9" t="str">
        <f aca="false">IF(A9="","",IF(T9="LOW SAMPLE","Not enough data — this combination has barely played together. Ignore tonight.",IF(T9="CAUTION","CAUTION: extreme CF%/xGF% split — likely a tiny sample, numbers unreliable. Left out of Top 3 and team score. ",T9&amp;" scoring chance. ")&amp;IF(F9-G9&gt;=Settings!$B$13,"Finishing above its xG — regression risk. ",IF(G9-F9&gt;=Settings!$B$13,"Creating more than it scores — due for goals. ","Goals in line with chances. "))&amp;IF(I9&gt;=LARGE($I$6:$I$69,3),"Top-3 high-danger creator on the slate. ","")&amp;"Faces "&amp;B9&amp;" (opp avg D-Score "&amp;TEXT(IFERROR(AVERAGEIF($A$6:$A$69,B9,$P$6:$P$69),0),"0")&amp;")."))</f>
        <v>LOW scoring chance. Finishing above its xG — regression risk. Faces Penguins (opp avg D-Score 45).</v>
      </c>
      <c r="W9" s="1" t="str">
        <f aca="false">IF(A9="","",IF(COUNTIF($A$6:A9,A9)=1,MAX($W$5:W8)+1,""))</f>
        <v/>
      </c>
      <c r="X9" s="1" t="n">
        <f aca="false">IF(OR(S9="",T9="CAUTION"),"",S9+ROW()/1000000)</f>
        <v>27.900009</v>
      </c>
      <c r="Y9" s="1" t="n">
        <f aca="false">IF(OR(S9="",T9="CAUTION"),0,S9*D9)</f>
        <v>343.17</v>
      </c>
      <c r="Z9" s="28" t="n">
        <f aca="false">IF(OR(S9="",T9="CAUTION"),0,D9)</f>
        <v>12.3</v>
      </c>
    </row>
    <row r="10" customFormat="false" ht="30" hidden="false" customHeight="true" outlineLevel="0" collapsed="false">
      <c r="A10" s="24" t="s">
        <v>42</v>
      </c>
      <c r="B10" s="24" t="s">
        <v>45</v>
      </c>
      <c r="C10" s="24" t="s">
        <v>79</v>
      </c>
      <c r="D10" s="25" t="n">
        <v>16.1</v>
      </c>
      <c r="E10" s="25" t="n">
        <v>62</v>
      </c>
      <c r="F10" s="25" t="n">
        <v>3.1</v>
      </c>
      <c r="G10" s="25" t="n">
        <v>3.3</v>
      </c>
      <c r="H10" s="25" t="n">
        <v>31.5</v>
      </c>
      <c r="I10" s="25" t="n">
        <v>14.7</v>
      </c>
      <c r="J10" s="25" t="n">
        <v>70.8</v>
      </c>
      <c r="K10" s="25" t="n">
        <v>60.8</v>
      </c>
      <c r="L10" s="25" t="n">
        <v>2.4</v>
      </c>
      <c r="M10" s="25" t="n">
        <v>2.9</v>
      </c>
      <c r="N10" s="25" t="n">
        <v>30.4</v>
      </c>
      <c r="O10" s="25" t="n">
        <v>13.5</v>
      </c>
      <c r="P10" s="25" t="n">
        <v>25</v>
      </c>
      <c r="Q10" s="26" t="n">
        <v>0.505</v>
      </c>
      <c r="R10" s="26" t="n">
        <v>0.533</v>
      </c>
      <c r="S10" s="8" t="n">
        <f aca="false">IF(A10="","",IF(AND(G10=0,H10=0,I10=0),"",ROUND(100*(Settings!$B$9*(Settings!$B$5*IFERROR(PERCENTRANK($G$6:$G$69,G10),0.5)+Settings!$B$6*IFERROR(PERCENTRANK($I$6:$I$69,I10),0.5)+Settings!$B$7*IFERROR(PERCENTRANK($H$6:$H$69,H10),0.5)+Settings!$B$8*IFERROR(PERCENTRANK($E$6:$E$69,E10),0.5))+Settings!$B$10*(1-IFERROR(AVERAGEIF($A$6:$A$69,B10,$P$6:$P$69)/100,0.5))),1)))</f>
        <v>64.3</v>
      </c>
      <c r="T10" s="7" t="str">
        <f aca="false">IF(A10="","",IF(S10="","LOW SAMPLE",IF(OR(R10&gt;=Settings!$B$18,R10&lt;=1-Settings!$B$18,Q10&gt;=Settings!$B$19,Q10&lt;=1-Settings!$B$19),"CAUTION",IF(S10&gt;=Settings!$B$11,"HIGH",IF(S10&gt;=Settings!$B$12,"MEDIUM","LOW")))))</f>
        <v>HIGH</v>
      </c>
      <c r="U10" s="27" t="n">
        <f aca="false">IF(X10="","",RANK(X10,$X$6:$X$69))</f>
        <v>6</v>
      </c>
      <c r="V10" s="9" t="str">
        <f aca="false">IF(A10="","",IF(T10="LOW SAMPLE","Not enough data — this combination has barely played together. Ignore tonight.",IF(T10="CAUTION","CAUTION: extreme CF%/xGF% split — likely a tiny sample, numbers unreliable. Left out of Top 3 and team score. ",T10&amp;" scoring chance. ")&amp;IF(F10-G10&gt;=Settings!$B$13,"Finishing above its xG — regression risk. ",IF(G10-F10&gt;=Settings!$B$13,"Creating more than it scores — due for goals. ","Goals in line with chances. "))&amp;IF(I10&gt;=LARGE($I$6:$I$69,3),"Top-3 high-danger creator on the slate. ","")&amp;"Faces "&amp;B10&amp;" (opp avg D-Score "&amp;TEXT(IFERROR(AVERAGEIF($A$6:$A$69,B10,$P$6:$P$69),0),"0")&amp;")."))</f>
        <v>HIGH scoring chance. Goals in line with chances. Faces Capitals (opp avg D-Score 52).</v>
      </c>
      <c r="W10" s="1" t="n">
        <f aca="false">IF(A10="","",IF(COUNTIF($A$6:A10,A10)=1,MAX($W$5:W9)+1,""))</f>
        <v>2</v>
      </c>
      <c r="X10" s="1" t="n">
        <f aca="false">IF(OR(S10="",T10="CAUTION"),"",S10+ROW()/1000000)</f>
        <v>64.30001</v>
      </c>
      <c r="Y10" s="1" t="n">
        <f aca="false">IF(OR(S10="",T10="CAUTION"),0,S10*D10)</f>
        <v>1035.23</v>
      </c>
      <c r="Z10" s="28" t="n">
        <f aca="false">IF(OR(S10="",T10="CAUTION"),0,D10)</f>
        <v>16.1</v>
      </c>
    </row>
    <row r="11" customFormat="false" ht="30" hidden="false" customHeight="true" outlineLevel="0" collapsed="false">
      <c r="A11" s="24" t="s">
        <v>42</v>
      </c>
      <c r="B11" s="24" t="s">
        <v>45</v>
      </c>
      <c r="C11" s="24" t="s">
        <v>80</v>
      </c>
      <c r="D11" s="25" t="n">
        <v>16.5</v>
      </c>
      <c r="E11" s="25" t="n">
        <v>58.1</v>
      </c>
      <c r="F11" s="25" t="n">
        <v>3.8</v>
      </c>
      <c r="G11" s="25" t="n">
        <v>3.4</v>
      </c>
      <c r="H11" s="25" t="n">
        <v>34</v>
      </c>
      <c r="I11" s="25" t="n">
        <v>16.1</v>
      </c>
      <c r="J11" s="25" t="n">
        <v>79.2</v>
      </c>
      <c r="K11" s="25" t="n">
        <v>61.2</v>
      </c>
      <c r="L11" s="25" t="n">
        <v>2.6</v>
      </c>
      <c r="M11" s="25" t="n">
        <v>3.3</v>
      </c>
      <c r="N11" s="25" t="n">
        <v>30.7</v>
      </c>
      <c r="O11" s="25" t="n">
        <v>14.7</v>
      </c>
      <c r="P11" s="25" t="n">
        <v>16.7</v>
      </c>
      <c r="Q11" s="26" t="n">
        <v>0.487</v>
      </c>
      <c r="R11" s="26" t="n">
        <v>0.508</v>
      </c>
      <c r="S11" s="8" t="n">
        <f aca="false">IF(A11="","",IF(AND(G11=0,H11=0,I11=0),"",ROUND(100*(Settings!$B$9*(Settings!$B$5*IFERROR(PERCENTRANK($G$6:$G$69,G11),0.5)+Settings!$B$6*IFERROR(PERCENTRANK($I$6:$I$69,I11),0.5)+Settings!$B$7*IFERROR(PERCENTRANK($H$6:$H$69,H11),0.5)+Settings!$B$8*IFERROR(PERCENTRANK($E$6:$E$69,E11),0.5))+Settings!$B$10*(1-IFERROR(AVERAGEIF($A$6:$A$69,B11,$P$6:$P$69)/100,0.5))),1)))</f>
        <v>71.8</v>
      </c>
      <c r="T11" s="7" t="str">
        <f aca="false">IF(A11="","",IF(S11="","LOW SAMPLE",IF(OR(R11&gt;=Settings!$B$18,R11&lt;=1-Settings!$B$18,Q11&gt;=Settings!$B$19,Q11&lt;=1-Settings!$B$19),"CAUTION",IF(S11&gt;=Settings!$B$11,"HIGH",IF(S11&gt;=Settings!$B$12,"MEDIUM","LOW")))))</f>
        <v>HIGH</v>
      </c>
      <c r="U11" s="27" t="n">
        <f aca="false">IF(X11="","",RANK(X11,$X$6:$X$69))</f>
        <v>3</v>
      </c>
      <c r="V11" s="9" t="str">
        <f aca="false">IF(A11="","",IF(T11="LOW SAMPLE","Not enough data — this combination has barely played together. Ignore tonight.",IF(T11="CAUTION","CAUTION: extreme CF%/xGF% split — likely a tiny sample, numbers unreliable. Left out of Top 3 and team score. ",T11&amp;" scoring chance. ")&amp;IF(F11-G11&gt;=Settings!$B$13,"Finishing above its xG — regression risk. ",IF(G11-F11&gt;=Settings!$B$13,"Creating more than it scores — due for goals. ","Goals in line with chances. "))&amp;IF(I11&gt;=LARGE($I$6:$I$69,3),"Top-3 high-danger creator on the slate. ","")&amp;"Faces "&amp;B11&amp;" (opp avg D-Score "&amp;TEXT(IFERROR(AVERAGEIF($A$6:$A$69,B11,$P$6:$P$69),0),"0")&amp;")."))</f>
        <v>HIGH scoring chance. Goals in line with chances. Top-3 high-danger creator on the slate. Faces Capitals (opp avg D-Score 52).</v>
      </c>
      <c r="W11" s="1" t="str">
        <f aca="false">IF(A11="","",IF(COUNTIF($A$6:A11,A11)=1,MAX($W$5:W10)+1,""))</f>
        <v/>
      </c>
      <c r="X11" s="1" t="n">
        <f aca="false">IF(OR(S11="",T11="CAUTION"),"",S11+ROW()/1000000)</f>
        <v>71.800011</v>
      </c>
      <c r="Y11" s="1" t="n">
        <f aca="false">IF(OR(S11="",T11="CAUTION"),0,S11*D11)</f>
        <v>1184.7</v>
      </c>
      <c r="Z11" s="28" t="n">
        <f aca="false">IF(OR(S11="",T11="CAUTION"),0,D11)</f>
        <v>16.5</v>
      </c>
    </row>
    <row r="12" customFormat="false" ht="30" hidden="false" customHeight="true" outlineLevel="0" collapsed="false">
      <c r="A12" s="24" t="s">
        <v>42</v>
      </c>
      <c r="B12" s="24" t="s">
        <v>45</v>
      </c>
      <c r="C12" s="24" t="s">
        <v>81</v>
      </c>
      <c r="D12" s="25" t="n">
        <v>12.3</v>
      </c>
      <c r="E12" s="25" t="n">
        <v>26.1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37.5</v>
      </c>
      <c r="K12" s="25" t="n">
        <v>52.2</v>
      </c>
      <c r="L12" s="25" t="n">
        <v>0</v>
      </c>
      <c r="M12" s="25" t="n">
        <v>1.1</v>
      </c>
      <c r="N12" s="25" t="n">
        <v>26.1</v>
      </c>
      <c r="O12" s="25" t="n">
        <v>0</v>
      </c>
      <c r="P12" s="25" t="n">
        <v>58.3</v>
      </c>
      <c r="Q12" s="26" t="n">
        <v>0.333</v>
      </c>
      <c r="R12" s="26" t="n">
        <v>0</v>
      </c>
      <c r="S12" s="8" t="str">
        <f aca="false">IF(A12="","",IF(AND(G12=0,H12=0,I12=0),"",ROUND(100*(Settings!$B$9*(Settings!$B$5*IFERROR(PERCENTRANK($G$6:$G$69,G12),0.5)+Settings!$B$6*IFERROR(PERCENTRANK($I$6:$I$69,I12),0.5)+Settings!$B$7*IFERROR(PERCENTRANK($H$6:$H$69,H12),0.5)+Settings!$B$8*IFERROR(PERCENTRANK($E$6:$E$69,E12),0.5))+Settings!$B$10*(1-IFERROR(AVERAGEIF($A$6:$A$69,B12,$P$6:$P$69)/100,0.5))),1)))</f>
        <v/>
      </c>
      <c r="T12" s="7" t="str">
        <f aca="false">IF(A12="","",IF(S12="","LOW SAMPLE",IF(OR(R12&gt;=Settings!$B$18,R12&lt;=1-Settings!$B$18,Q12&gt;=Settings!$B$19,Q12&lt;=1-Settings!$B$19),"CAUTION",IF(S12&gt;=Settings!$B$11,"HIGH",IF(S12&gt;=Settings!$B$12,"MEDIUM","LOW")))))</f>
        <v>LOW SAMPLE</v>
      </c>
      <c r="U12" s="27" t="str">
        <f aca="false">IF(X12="","",RANK(X12,$X$6:$X$69))</f>
        <v/>
      </c>
      <c r="V12" s="9" t="str">
        <f aca="false">IF(A12="","",IF(T12="LOW SAMPLE","Not enough data — this combination has barely played together. Ignore tonight.",IF(T12="CAUTION","CAUTION: extreme CF%/xGF% split — likely a tiny sample, numbers unreliable. Left out of Top 3 and team score. ",T12&amp;" scoring chance. ")&amp;IF(F12-G12&gt;=Settings!$B$13,"Finishing above its xG — regression risk. ",IF(G12-F12&gt;=Settings!$B$13,"Creating more than it scores — due for goals. ","Goals in line with chances. "))&amp;IF(I12&gt;=LARGE($I$6:$I$69,3),"Top-3 high-danger creator on the slate. ","")&amp;"Faces "&amp;B12&amp;" (opp avg D-Score "&amp;TEXT(IFERROR(AVERAGEIF($A$6:$A$69,B12,$P$6:$P$69),0),"0")&amp;")."))</f>
        <v>Not enough data — this combination has barely played together. Ignore tonight.</v>
      </c>
      <c r="W12" s="1" t="str">
        <f aca="false">IF(A12="","",IF(COUNTIF($A$6:A12,A12)=1,MAX($W$5:W11)+1,""))</f>
        <v/>
      </c>
      <c r="X12" s="1" t="str">
        <f aca="false">IF(OR(S12="",T12="CAUTION"),"",S12+ROW()/1000000)</f>
        <v/>
      </c>
      <c r="Y12" s="1" t="n">
        <f aca="false">IF(OR(S12="",T12="CAUTION"),0,S12*D12)</f>
        <v>0</v>
      </c>
      <c r="Z12" s="1" t="n">
        <f aca="false">IF(OR(S12="",T12="CAUTION"),0,D12)</f>
        <v>0</v>
      </c>
    </row>
    <row r="13" customFormat="false" ht="30" hidden="false" customHeight="true" outlineLevel="0" collapsed="false">
      <c r="A13" s="24" t="s">
        <v>42</v>
      </c>
      <c r="B13" s="24" t="s">
        <v>45</v>
      </c>
      <c r="C13" s="24" t="s">
        <v>82</v>
      </c>
      <c r="D13" s="25" t="n">
        <v>10.9</v>
      </c>
      <c r="E13" s="25" t="n">
        <v>61.7</v>
      </c>
      <c r="F13" s="25" t="n">
        <v>2.3</v>
      </c>
      <c r="G13" s="25" t="n">
        <v>2.7</v>
      </c>
      <c r="H13" s="25" t="n">
        <v>29.2</v>
      </c>
      <c r="I13" s="25" t="n">
        <v>12.2</v>
      </c>
      <c r="J13" s="25" t="n">
        <v>54.2</v>
      </c>
      <c r="K13" s="25" t="n">
        <v>53.1</v>
      </c>
      <c r="L13" s="25" t="n">
        <v>2</v>
      </c>
      <c r="M13" s="25" t="n">
        <v>2.4</v>
      </c>
      <c r="N13" s="25" t="n">
        <v>23.7</v>
      </c>
      <c r="O13" s="25" t="n">
        <v>11.1</v>
      </c>
      <c r="P13" s="25" t="n">
        <v>79.2</v>
      </c>
      <c r="Q13" s="26" t="n">
        <v>0.538</v>
      </c>
      <c r="R13" s="26" t="n">
        <v>0.531</v>
      </c>
      <c r="S13" s="8" t="n">
        <f aca="false">IF(A13="","",IF(AND(G13=0,H13=0,I13=0),"",ROUND(100*(Settings!$B$9*(Settings!$B$5*IFERROR(PERCENTRANK($G$6:$G$69,G13),0.5)+Settings!$B$6*IFERROR(PERCENTRANK($I$6:$I$69,I13),0.5)+Settings!$B$7*IFERROR(PERCENTRANK($H$6:$H$69,H13),0.5)+Settings!$B$8*IFERROR(PERCENTRANK($E$6:$E$69,E13),0.5))+Settings!$B$10*(1-IFERROR(AVERAGEIF($A$6:$A$69,B13,$P$6:$P$69)/100,0.5))),1)))</f>
        <v>43.7</v>
      </c>
      <c r="T13" s="7" t="str">
        <f aca="false">IF(A13="","",IF(S13="","LOW SAMPLE",IF(OR(R13&gt;=Settings!$B$18,R13&lt;=1-Settings!$B$18,Q13&gt;=Settings!$B$19,Q13&lt;=1-Settings!$B$19),"CAUTION",IF(S13&gt;=Settings!$B$11,"HIGH",IF(S13&gt;=Settings!$B$12,"MEDIUM","LOW")))))</f>
        <v>LOW</v>
      </c>
      <c r="U13" s="27" t="n">
        <f aca="false">IF(X13="","",RANK(X13,$X$6:$X$69))</f>
        <v>13</v>
      </c>
      <c r="V13" s="9" t="str">
        <f aca="false">IF(A13="","",IF(T13="LOW SAMPLE","Not enough data — this combination has barely played together. Ignore tonight.",IF(T13="CAUTION","CAUTION: extreme CF%/xGF% split — likely a tiny sample, numbers unreliable. Left out of Top 3 and team score. ",T13&amp;" scoring chance. ")&amp;IF(F13-G13&gt;=Settings!$B$13,"Finishing above its xG — regression risk. ",IF(G13-F13&gt;=Settings!$B$13,"Creating more than it scores — due for goals. ","Goals in line with chances. "))&amp;IF(I13&gt;=LARGE($I$6:$I$69,3),"Top-3 high-danger creator on the slate. ","")&amp;"Faces "&amp;B13&amp;" (opp avg D-Score "&amp;TEXT(IFERROR(AVERAGEIF($A$6:$A$69,B13,$P$6:$P$69),0),"0")&amp;")."))</f>
        <v>LOW scoring chance. Goals in line with chances. Faces Capitals (opp avg D-Score 52).</v>
      </c>
      <c r="W13" s="1" t="str">
        <f aca="false">IF(A13="","",IF(COUNTIF($A$6:A13,A13)=1,MAX($W$5:W12)+1,""))</f>
        <v/>
      </c>
      <c r="X13" s="1" t="n">
        <f aca="false">IF(OR(S13="",T13="CAUTION"),"",S13+ROW()/1000000)</f>
        <v>43.700013</v>
      </c>
      <c r="Y13" s="1" t="n">
        <f aca="false">IF(OR(S13="",T13="CAUTION"),0,S13*D13)</f>
        <v>476.33</v>
      </c>
      <c r="Z13" s="28" t="n">
        <f aca="false">IF(OR(S13="",T13="CAUTION"),0,D13)</f>
        <v>10.9</v>
      </c>
    </row>
    <row r="14" customFormat="false" ht="30" hidden="false" customHeight="true" outlineLevel="0" collapsed="false">
      <c r="A14" s="24" t="s">
        <v>49</v>
      </c>
      <c r="B14" s="24" t="s">
        <v>47</v>
      </c>
      <c r="C14" s="24" t="s">
        <v>79</v>
      </c>
      <c r="D14" s="25" t="n">
        <v>16</v>
      </c>
      <c r="E14" s="25" t="n">
        <v>71</v>
      </c>
      <c r="F14" s="25" t="n">
        <v>4</v>
      </c>
      <c r="G14" s="25" t="n">
        <v>3</v>
      </c>
      <c r="H14" s="25" t="n">
        <v>31.3</v>
      </c>
      <c r="I14" s="25" t="n">
        <v>11.7</v>
      </c>
      <c r="J14" s="25" t="n">
        <v>62.5</v>
      </c>
      <c r="K14" s="25" t="n">
        <v>56</v>
      </c>
      <c r="L14" s="25" t="n">
        <v>2.9</v>
      </c>
      <c r="M14" s="25" t="n">
        <v>2.8</v>
      </c>
      <c r="N14" s="25" t="n">
        <v>30.6</v>
      </c>
      <c r="O14" s="25" t="n">
        <v>15.2</v>
      </c>
      <c r="P14" s="25" t="n">
        <v>20.8</v>
      </c>
      <c r="Q14" s="26" t="n">
        <v>0.559</v>
      </c>
      <c r="R14" s="26" t="n">
        <v>0.519</v>
      </c>
      <c r="S14" s="8" t="n">
        <f aca="false">IF(A14="","",IF(AND(G14=0,H14=0,I14=0),"",ROUND(100*(Settings!$B$9*(Settings!$B$5*IFERROR(PERCENTRANK($G$6:$G$69,G14),0.5)+Settings!$B$6*IFERROR(PERCENTRANK($I$6:$I$69,I14),0.5)+Settings!$B$7*IFERROR(PERCENTRANK($H$6:$H$69,H14),0.5)+Settings!$B$8*IFERROR(PERCENTRANK($E$6:$E$69,E14),0.5))+Settings!$B$10*(1-IFERROR(AVERAGEIF($A$6:$A$69,B14,$P$6:$P$69)/100,0.5))),1)))</f>
        <v>43.6</v>
      </c>
      <c r="T14" s="7" t="str">
        <f aca="false">IF(A14="","",IF(S14="","LOW SAMPLE",IF(OR(R14&gt;=Settings!$B$18,R14&lt;=1-Settings!$B$18,Q14&gt;=Settings!$B$19,Q14&lt;=1-Settings!$B$19),"CAUTION",IF(S14&gt;=Settings!$B$11,"HIGH",IF(S14&gt;=Settings!$B$12,"MEDIUM","LOW")))))</f>
        <v>LOW</v>
      </c>
      <c r="U14" s="27" t="n">
        <f aca="false">IF(X14="","",RANK(X14,$X$6:$X$69))</f>
        <v>14</v>
      </c>
      <c r="V14" s="9" t="str">
        <f aca="false">IF(A14="","",IF(T14="LOW SAMPLE","Not enough data — this combination has barely played together. Ignore tonight.",IF(T14="CAUTION","CAUTION: extreme CF%/xGF% split — likely a tiny sample, numbers unreliable. Left out of Top 3 and team score. ",T14&amp;" scoring chance. ")&amp;IF(F14-G14&gt;=Settings!$B$13,"Finishing above its xG — regression risk. ",IF(G14-F14&gt;=Settings!$B$13,"Creating more than it scores — due for goals. ","Goals in line with chances. "))&amp;IF(I14&gt;=LARGE($I$6:$I$69,3),"Top-3 high-danger creator on the slate. ","")&amp;"Faces "&amp;B14&amp;" (opp avg D-Score "&amp;TEXT(IFERROR(AVERAGEIF($A$6:$A$69,B14,$P$6:$P$69),0),"0")&amp;")."))</f>
        <v>LOW scoring chance. Finishing above its xG — regression risk. Faces Oilers (opp avg D-Score 75).</v>
      </c>
      <c r="W14" s="1" t="n">
        <f aca="false">IF(A14="","",IF(COUNTIF($A$6:A14,A14)=1,MAX($W$5:W13)+1,""))</f>
        <v>3</v>
      </c>
      <c r="X14" s="1" t="n">
        <f aca="false">IF(OR(S14="",T14="CAUTION"),"",S14+ROW()/1000000)</f>
        <v>43.600014</v>
      </c>
      <c r="Y14" s="1" t="n">
        <f aca="false">IF(OR(S14="",T14="CAUTION"),0,S14*D14)</f>
        <v>697.6</v>
      </c>
      <c r="Z14" s="28" t="n">
        <f aca="false">IF(OR(S14="",T14="CAUTION"),0,D14)</f>
        <v>16</v>
      </c>
    </row>
    <row r="15" customFormat="false" ht="30" hidden="false" customHeight="true" outlineLevel="0" collapsed="false">
      <c r="A15" s="24" t="s">
        <v>49</v>
      </c>
      <c r="B15" s="24" t="s">
        <v>47</v>
      </c>
      <c r="C15" s="24" t="s">
        <v>80</v>
      </c>
      <c r="D15" s="25" t="n">
        <v>16.5</v>
      </c>
      <c r="E15" s="25" t="n">
        <v>59.9</v>
      </c>
      <c r="F15" s="25" t="n">
        <v>2.4</v>
      </c>
      <c r="G15" s="25" t="n">
        <v>3.1</v>
      </c>
      <c r="H15" s="25" t="n">
        <v>29.8</v>
      </c>
      <c r="I15" s="25" t="n">
        <v>14.2</v>
      </c>
      <c r="J15" s="25" t="n">
        <v>58.3</v>
      </c>
      <c r="K15" s="25" t="n">
        <v>53.7</v>
      </c>
      <c r="L15" s="25" t="n">
        <v>1.9</v>
      </c>
      <c r="M15" s="25" t="n">
        <v>2.4</v>
      </c>
      <c r="N15" s="25" t="n">
        <v>24.8</v>
      </c>
      <c r="O15" s="25" t="n">
        <v>9.9</v>
      </c>
      <c r="P15" s="25" t="n">
        <v>83.3</v>
      </c>
      <c r="Q15" s="26" t="n">
        <v>0.528</v>
      </c>
      <c r="R15" s="26" t="n">
        <v>0.563</v>
      </c>
      <c r="S15" s="8" t="n">
        <f aca="false">IF(A15="","",IF(AND(G15=0,H15=0,I15=0),"",ROUND(100*(Settings!$B$9*(Settings!$B$5*IFERROR(PERCENTRANK($G$6:$G$69,G15),0.5)+Settings!$B$6*IFERROR(PERCENTRANK($I$6:$I$69,I15),0.5)+Settings!$B$7*IFERROR(PERCENTRANK($H$6:$H$69,H15),0.5)+Settings!$B$8*IFERROR(PERCENTRANK($E$6:$E$69,E15),0.5))+Settings!$B$10*(1-IFERROR(AVERAGEIF($A$6:$A$69,B15,$P$6:$P$69)/100,0.5))),1)))</f>
        <v>48</v>
      </c>
      <c r="T15" s="7" t="str">
        <f aca="false">IF(A15="","",IF(S15="","LOW SAMPLE",IF(OR(R15&gt;=Settings!$B$18,R15&lt;=1-Settings!$B$18,Q15&gt;=Settings!$B$19,Q15&lt;=1-Settings!$B$19),"CAUTION",IF(S15&gt;=Settings!$B$11,"HIGH",IF(S15&gt;=Settings!$B$12,"MEDIUM","LOW")))))</f>
        <v>MEDIUM</v>
      </c>
      <c r="U15" s="27" t="n">
        <f aca="false">IF(X15="","",RANK(X15,$X$6:$X$69))</f>
        <v>12</v>
      </c>
      <c r="V15" s="9" t="str">
        <f aca="false">IF(A15="","",IF(T15="LOW SAMPLE","Not enough data — this combination has barely played together. Ignore tonight.",IF(T15="CAUTION","CAUTION: extreme CF%/xGF% split — likely a tiny sample, numbers unreliable. Left out of Top 3 and team score. ",T15&amp;" scoring chance. ")&amp;IF(F15-G15&gt;=Settings!$B$13,"Finishing above its xG — regression risk. ",IF(G15-F15&gt;=Settings!$B$13,"Creating more than it scores — due for goals. ","Goals in line with chances. "))&amp;IF(I15&gt;=LARGE($I$6:$I$69,3),"Top-3 high-danger creator on the slate. ","")&amp;"Faces "&amp;B15&amp;" (opp avg D-Score "&amp;TEXT(IFERROR(AVERAGEIF($A$6:$A$69,B15,$P$6:$P$69),0),"0")&amp;")."))</f>
        <v>MEDIUM scoring chance. Goals in line with chances. Faces Oilers (opp avg D-Score 75).</v>
      </c>
      <c r="W15" s="1" t="str">
        <f aca="false">IF(A15="","",IF(COUNTIF($A$6:A15,A15)=1,MAX($W$5:W14)+1,""))</f>
        <v/>
      </c>
      <c r="X15" s="1" t="n">
        <f aca="false">IF(OR(S15="",T15="CAUTION"),"",S15+ROW()/1000000)</f>
        <v>48.000015</v>
      </c>
      <c r="Y15" s="1" t="n">
        <f aca="false">IF(OR(S15="",T15="CAUTION"),0,S15*D15)</f>
        <v>792</v>
      </c>
      <c r="Z15" s="28" t="n">
        <f aca="false">IF(OR(S15="",T15="CAUTION"),0,D15)</f>
        <v>16.5</v>
      </c>
    </row>
    <row r="16" customFormat="false" ht="30" hidden="false" customHeight="true" outlineLevel="0" collapsed="false">
      <c r="A16" s="24" t="s">
        <v>49</v>
      </c>
      <c r="B16" s="24" t="s">
        <v>47</v>
      </c>
      <c r="C16" s="24" t="s">
        <v>81</v>
      </c>
      <c r="D16" s="25" t="n">
        <v>13.5</v>
      </c>
      <c r="E16" s="25" t="n">
        <v>53.3</v>
      </c>
      <c r="F16" s="25" t="n">
        <v>1.2</v>
      </c>
      <c r="G16" s="25" t="n">
        <v>2.3</v>
      </c>
      <c r="H16" s="25" t="n">
        <v>23</v>
      </c>
      <c r="I16" s="25" t="n">
        <v>9.3</v>
      </c>
      <c r="J16" s="25" t="n">
        <v>20.8</v>
      </c>
      <c r="K16" s="25" t="n">
        <v>55.7</v>
      </c>
      <c r="L16" s="25" t="n">
        <v>1.6</v>
      </c>
      <c r="M16" s="25" t="n">
        <v>2.2</v>
      </c>
      <c r="N16" s="25" t="n">
        <v>27</v>
      </c>
      <c r="O16" s="25" t="n">
        <v>8.9</v>
      </c>
      <c r="P16" s="25" t="n">
        <v>87.5</v>
      </c>
      <c r="Q16" s="26" t="n">
        <v>0.489</v>
      </c>
      <c r="R16" s="26" t="n">
        <v>0.516</v>
      </c>
      <c r="S16" s="8" t="n">
        <f aca="false">IF(A16="","",IF(AND(G16=0,H16=0,I16=0),"",ROUND(100*(Settings!$B$9*(Settings!$B$5*IFERROR(PERCENTRANK($G$6:$G$69,G16),0.5)+Settings!$B$6*IFERROR(PERCENTRANK($I$6:$I$69,I16),0.5)+Settings!$B$7*IFERROR(PERCENTRANK($H$6:$H$69,H16),0.5)+Settings!$B$8*IFERROR(PERCENTRANK($E$6:$E$69,E16),0.5))+Settings!$B$10*(1-IFERROR(AVERAGEIF($A$6:$A$69,B16,$P$6:$P$69)/100,0.5))),1)))</f>
        <v>20.1</v>
      </c>
      <c r="T16" s="7" t="str">
        <f aca="false">IF(A16="","",IF(S16="","LOW SAMPLE",IF(OR(R16&gt;=Settings!$B$18,R16&lt;=1-Settings!$B$18,Q16&gt;=Settings!$B$19,Q16&lt;=1-Settings!$B$19),"CAUTION",IF(S16&gt;=Settings!$B$11,"HIGH",IF(S16&gt;=Settings!$B$12,"MEDIUM","LOW")))))</f>
        <v>LOW</v>
      </c>
      <c r="U16" s="27" t="n">
        <f aca="false">IF(X16="","",RANK(X16,$X$6:$X$69))</f>
        <v>20</v>
      </c>
      <c r="V16" s="9" t="str">
        <f aca="false">IF(A16="","",IF(T16="LOW SAMPLE","Not enough data — this combination has barely played together. Ignore tonight.",IF(T16="CAUTION","CAUTION: extreme CF%/xGF% split — likely a tiny sample, numbers unreliable. Left out of Top 3 and team score. ",T16&amp;" scoring chance. ")&amp;IF(F16-G16&gt;=Settings!$B$13,"Finishing above its xG — regression risk. ",IF(G16-F16&gt;=Settings!$B$13,"Creating more than it scores — due for goals. ","Goals in line with chances. "))&amp;IF(I16&gt;=LARGE($I$6:$I$69,3),"Top-3 high-danger creator on the slate. ","")&amp;"Faces "&amp;B16&amp;" (opp avg D-Score "&amp;TEXT(IFERROR(AVERAGEIF($A$6:$A$69,B16,$P$6:$P$69),0),"0")&amp;")."))</f>
        <v>LOW scoring chance. Creating more than it scores — due for goals. Faces Oilers (opp avg D-Score 75).</v>
      </c>
      <c r="W16" s="1" t="str">
        <f aca="false">IF(A16="","",IF(COUNTIF($A$6:A16,A16)=1,MAX($W$5:W15)+1,""))</f>
        <v/>
      </c>
      <c r="X16" s="1" t="n">
        <f aca="false">IF(OR(S16="",T16="CAUTION"),"",S16+ROW()/1000000)</f>
        <v>20.100016</v>
      </c>
      <c r="Y16" s="1" t="n">
        <f aca="false">IF(OR(S16="",T16="CAUTION"),0,S16*D16)</f>
        <v>271.35</v>
      </c>
      <c r="Z16" s="28" t="n">
        <f aca="false">IF(OR(S16="",T16="CAUTION"),0,D16)</f>
        <v>13.5</v>
      </c>
    </row>
    <row r="17" customFormat="false" ht="30" hidden="false" customHeight="true" outlineLevel="0" collapsed="false">
      <c r="A17" s="24" t="s">
        <v>49</v>
      </c>
      <c r="B17" s="24" t="s">
        <v>47</v>
      </c>
      <c r="C17" s="24" t="s">
        <v>82</v>
      </c>
      <c r="D17" s="25" t="n">
        <v>10.5</v>
      </c>
      <c r="E17" s="25" t="n">
        <v>52.1</v>
      </c>
      <c r="F17" s="25" t="n">
        <v>1.4</v>
      </c>
      <c r="G17" s="25" t="n">
        <v>2.3</v>
      </c>
      <c r="H17" s="25" t="n">
        <v>23.2</v>
      </c>
      <c r="I17" s="25" t="n">
        <v>11.1</v>
      </c>
      <c r="J17" s="25" t="n">
        <v>16.7</v>
      </c>
      <c r="K17" s="25" t="n">
        <v>55.5</v>
      </c>
      <c r="L17" s="25" t="n">
        <v>2.6</v>
      </c>
      <c r="M17" s="25" t="n">
        <v>2.7</v>
      </c>
      <c r="N17" s="25" t="n">
        <v>26.9</v>
      </c>
      <c r="O17" s="25" t="n">
        <v>11.1</v>
      </c>
      <c r="P17" s="25" t="n">
        <v>50</v>
      </c>
      <c r="Q17" s="26" t="n">
        <v>0.484</v>
      </c>
      <c r="R17" s="26" t="n">
        <v>0.459</v>
      </c>
      <c r="S17" s="8" t="n">
        <f aca="false">IF(A17="","",IF(AND(G17=0,H17=0,I17=0),"",ROUND(100*(Settings!$B$9*(Settings!$B$5*IFERROR(PERCENTRANK($G$6:$G$69,G17),0.5)+Settings!$B$6*IFERROR(PERCENTRANK($I$6:$I$69,I17),0.5)+Settings!$B$7*IFERROR(PERCENTRANK($H$6:$H$69,H17),0.5)+Settings!$B$8*IFERROR(PERCENTRANK($E$6:$E$69,E17),0.5))+Settings!$B$10*(1-IFERROR(AVERAGEIF($A$6:$A$69,B17,$P$6:$P$69)/100,0.5))),1)))</f>
        <v>23.5</v>
      </c>
      <c r="T17" s="7" t="str">
        <f aca="false">IF(A17="","",IF(S17="","LOW SAMPLE",IF(OR(R17&gt;=Settings!$B$18,R17&lt;=1-Settings!$B$18,Q17&gt;=Settings!$B$19,Q17&lt;=1-Settings!$B$19),"CAUTION",IF(S17&gt;=Settings!$B$11,"HIGH",IF(S17&gt;=Settings!$B$12,"MEDIUM","LOW")))))</f>
        <v>LOW</v>
      </c>
      <c r="U17" s="27" t="n">
        <f aca="false">IF(X17="","",RANK(X17,$X$6:$X$69))</f>
        <v>19</v>
      </c>
      <c r="V17" s="9" t="str">
        <f aca="false">IF(A17="","",IF(T17="LOW SAMPLE","Not enough data — this combination has barely played together. Ignore tonight.",IF(T17="CAUTION","CAUTION: extreme CF%/xGF% split — likely a tiny sample, numbers unreliable. Left out of Top 3 and team score. ",T17&amp;" scoring chance. ")&amp;IF(F17-G17&gt;=Settings!$B$13,"Finishing above its xG — regression risk. ",IF(G17-F17&gt;=Settings!$B$13,"Creating more than it scores — due for goals. ","Goals in line with chances. "))&amp;IF(I17&gt;=LARGE($I$6:$I$69,3),"Top-3 high-danger creator on the slate. ","")&amp;"Faces "&amp;B17&amp;" (opp avg D-Score "&amp;TEXT(IFERROR(AVERAGEIF($A$6:$A$69,B17,$P$6:$P$69),0),"0")&amp;")."))</f>
        <v>LOW scoring chance. Goals in line with chances. Faces Oilers (opp avg D-Score 75).</v>
      </c>
      <c r="W17" s="1" t="str">
        <f aca="false">IF(A17="","",IF(COUNTIF($A$6:A17,A17)=1,MAX($W$5:W16)+1,""))</f>
        <v/>
      </c>
      <c r="X17" s="1" t="n">
        <f aca="false">IF(OR(S17="",T17="CAUTION"),"",S17+ROW()/1000000)</f>
        <v>23.500017</v>
      </c>
      <c r="Y17" s="1" t="n">
        <f aca="false">IF(OR(S17="",T17="CAUTION"),0,S17*D17)</f>
        <v>246.75</v>
      </c>
      <c r="Z17" s="28" t="n">
        <f aca="false">IF(OR(S17="",T17="CAUTION"),0,D17)</f>
        <v>10.5</v>
      </c>
    </row>
    <row r="18" customFormat="false" ht="30" hidden="false" customHeight="true" outlineLevel="0" collapsed="false">
      <c r="A18" s="24" t="s">
        <v>47</v>
      </c>
      <c r="B18" s="24" t="s">
        <v>49</v>
      </c>
      <c r="C18" s="24" t="s">
        <v>79</v>
      </c>
      <c r="D18" s="25" t="n">
        <v>17.5</v>
      </c>
      <c r="E18" s="25" t="n">
        <v>74.9</v>
      </c>
      <c r="F18" s="25" t="n">
        <v>7.6</v>
      </c>
      <c r="G18" s="25" t="n">
        <v>3.1</v>
      </c>
      <c r="H18" s="25" t="n">
        <v>33.7</v>
      </c>
      <c r="I18" s="25" t="n">
        <v>13</v>
      </c>
      <c r="J18" s="25" t="n">
        <v>91.7</v>
      </c>
      <c r="K18" s="25" t="n">
        <v>34.8</v>
      </c>
      <c r="L18" s="25" t="n">
        <v>0</v>
      </c>
      <c r="M18" s="25" t="n">
        <v>2.1</v>
      </c>
      <c r="N18" s="25" t="n">
        <v>21.7</v>
      </c>
      <c r="O18" s="25" t="n">
        <v>8.7</v>
      </c>
      <c r="P18" s="25" t="n">
        <v>100</v>
      </c>
      <c r="Q18" s="26" t="n">
        <v>0.683</v>
      </c>
      <c r="R18" s="26" t="n">
        <v>0.597</v>
      </c>
      <c r="S18" s="8" t="n">
        <f aca="false">IF(A18="","",IF(AND(G18=0,H18=0,I18=0),"",ROUND(100*(Settings!$B$9*(Settings!$B$5*IFERROR(PERCENTRANK($G$6:$G$69,G18),0.5)+Settings!$B$6*IFERROR(PERCENTRANK($I$6:$I$69,I18),0.5)+Settings!$B$7*IFERROR(PERCENTRANK($H$6:$H$69,H18),0.5)+Settings!$B$8*IFERROR(PERCENTRANK($E$6:$E$69,E18),0.5))+Settings!$B$10*(1-IFERROR(AVERAGEIF($A$6:$A$69,B18,$P$6:$P$69)/100,0.5))),1)))</f>
        <v>57.5</v>
      </c>
      <c r="T18" s="7" t="str">
        <f aca="false">IF(A18="","",IF(S18="","LOW SAMPLE",IF(OR(R18&gt;=Settings!$B$18,R18&lt;=1-Settings!$B$18,Q18&gt;=Settings!$B$19,Q18&lt;=1-Settings!$B$19),"CAUTION",IF(S18&gt;=Settings!$B$11,"HIGH",IF(S18&gt;=Settings!$B$12,"MEDIUM","LOW")))))</f>
        <v>MEDIUM</v>
      </c>
      <c r="U18" s="27" t="n">
        <f aca="false">IF(X18="","",RANK(X18,$X$6:$X$69))</f>
        <v>8</v>
      </c>
      <c r="V18" s="9" t="str">
        <f aca="false">IF(A18="","",IF(T18="LOW SAMPLE","Not enough data — this combination has barely played together. Ignore tonight.",IF(T18="CAUTION","CAUTION: extreme CF%/xGF% split — likely a tiny sample, numbers unreliable. Left out of Top 3 and team score. ",T18&amp;" scoring chance. ")&amp;IF(F18-G18&gt;=Settings!$B$13,"Finishing above its xG — regression risk. ",IF(G18-F18&gt;=Settings!$B$13,"Creating more than it scores — due for goals. ","Goals in line with chances. "))&amp;IF(I18&gt;=LARGE($I$6:$I$69,3),"Top-3 high-danger creator on the slate. ","")&amp;"Faces "&amp;B18&amp;" (opp avg D-Score "&amp;TEXT(IFERROR(AVERAGEIF($A$6:$A$69,B18,$P$6:$P$69),0),"0")&amp;")."))</f>
        <v>MEDIUM scoring chance. Finishing above its xG — regression risk. Faces Ducks (opp avg D-Score 60).</v>
      </c>
      <c r="W18" s="1" t="n">
        <f aca="false">IF(A18="","",IF(COUNTIF($A$6:A18,A18)=1,MAX($W$5:W17)+1,""))</f>
        <v>4</v>
      </c>
      <c r="X18" s="1" t="n">
        <f aca="false">IF(OR(S18="",T18="CAUTION"),"",S18+ROW()/1000000)</f>
        <v>57.500018</v>
      </c>
      <c r="Y18" s="1" t="n">
        <f aca="false">IF(OR(S18="",T18="CAUTION"),0,S18*D18)</f>
        <v>1006.25</v>
      </c>
      <c r="Z18" s="28" t="n">
        <f aca="false">IF(OR(S18="",T18="CAUTION"),0,D18)</f>
        <v>17.5</v>
      </c>
    </row>
    <row r="19" customFormat="false" ht="30" hidden="false" customHeight="true" outlineLevel="0" collapsed="false">
      <c r="A19" s="24" t="s">
        <v>47</v>
      </c>
      <c r="B19" s="24" t="s">
        <v>49</v>
      </c>
      <c r="C19" s="24" t="s">
        <v>80</v>
      </c>
      <c r="D19" s="25" t="n">
        <v>16.5</v>
      </c>
      <c r="E19" s="25" t="n">
        <v>23.6</v>
      </c>
      <c r="F19" s="25" t="n">
        <v>0</v>
      </c>
      <c r="G19" s="25" t="n">
        <v>2.8</v>
      </c>
      <c r="H19" s="25" t="n">
        <v>23.6</v>
      </c>
      <c r="I19" s="25" t="n">
        <v>14.2</v>
      </c>
      <c r="J19" s="25" t="n">
        <v>37.5</v>
      </c>
      <c r="K19" s="25" t="n">
        <v>42.6</v>
      </c>
      <c r="L19" s="25" t="n">
        <v>0</v>
      </c>
      <c r="M19" s="25" t="n">
        <v>1.8</v>
      </c>
      <c r="N19" s="25" t="n">
        <v>23.6</v>
      </c>
      <c r="O19" s="25" t="n">
        <v>9.5</v>
      </c>
      <c r="P19" s="25" t="n">
        <v>58.3</v>
      </c>
      <c r="Q19" s="26" t="n">
        <v>0.357</v>
      </c>
      <c r="R19" s="26" t="n">
        <v>0.609</v>
      </c>
      <c r="S19" s="8" t="n">
        <f aca="false">IF(A19="","",IF(AND(G19=0,H19=0,I19=0),"",ROUND(100*(Settings!$B$9*(Settings!$B$5*IFERROR(PERCENTRANK($G$6:$G$69,G19),0.5)+Settings!$B$6*IFERROR(PERCENTRANK($I$6:$I$69,I19),0.5)+Settings!$B$7*IFERROR(PERCENTRANK($H$6:$H$69,H19),0.5)+Settings!$B$8*IFERROR(PERCENTRANK($E$6:$E$69,E19),0.5))+Settings!$B$10*(1-IFERROR(AVERAGEIF($A$6:$A$69,B19,$P$6:$P$69)/100,0.5))),1)))</f>
        <v>39.7</v>
      </c>
      <c r="T19" s="7" t="str">
        <f aca="false">IF(A19="","",IF(S19="","LOW SAMPLE",IF(OR(R19&gt;=Settings!$B$18,R19&lt;=1-Settings!$B$18,Q19&gt;=Settings!$B$19,Q19&lt;=1-Settings!$B$19),"CAUTION",IF(S19&gt;=Settings!$B$11,"HIGH",IF(S19&gt;=Settings!$B$12,"MEDIUM","LOW")))))</f>
        <v>LOW</v>
      </c>
      <c r="U19" s="27" t="n">
        <f aca="false">IF(X19="","",RANK(X19,$X$6:$X$69))</f>
        <v>15</v>
      </c>
      <c r="V19" s="9" t="str">
        <f aca="false">IF(A19="","",IF(T19="LOW SAMPLE","Not enough data — this combination has barely played together. Ignore tonight.",IF(T19="CAUTION","CAUTION: extreme CF%/xGF% split — likely a tiny sample, numbers unreliable. Left out of Top 3 and team score. ",T19&amp;" scoring chance. ")&amp;IF(F19-G19&gt;=Settings!$B$13,"Finishing above its xG — regression risk. ",IF(G19-F19&gt;=Settings!$B$13,"Creating more than it scores — due for goals. ","Goals in line with chances. "))&amp;IF(I19&gt;=LARGE($I$6:$I$69,3),"Top-3 high-danger creator on the slate. ","")&amp;"Faces "&amp;B19&amp;" (opp avg D-Score "&amp;TEXT(IFERROR(AVERAGEIF($A$6:$A$69,B19,$P$6:$P$69),0),"0")&amp;")."))</f>
        <v>LOW scoring chance. Creating more than it scores — due for goals. Faces Ducks (opp avg D-Score 60).</v>
      </c>
      <c r="W19" s="1" t="str">
        <f aca="false">IF(A19="","",IF(COUNTIF($A$6:A19,A19)=1,MAX($W$5:W18)+1,""))</f>
        <v/>
      </c>
      <c r="X19" s="1" t="n">
        <f aca="false">IF(OR(S19="",T19="CAUTION"),"",S19+ROW()/1000000)</f>
        <v>39.700019</v>
      </c>
      <c r="Y19" s="1" t="n">
        <f aca="false">IF(OR(S19="",T19="CAUTION"),0,S19*D19)</f>
        <v>655.05</v>
      </c>
      <c r="Z19" s="28" t="n">
        <f aca="false">IF(OR(S19="",T19="CAUTION"),0,D19)</f>
        <v>16.5</v>
      </c>
    </row>
    <row r="20" customFormat="false" ht="30" hidden="false" customHeight="true" outlineLevel="0" collapsed="false">
      <c r="A20" s="24" t="s">
        <v>47</v>
      </c>
      <c r="B20" s="24" t="s">
        <v>49</v>
      </c>
      <c r="C20" s="24" t="s">
        <v>81</v>
      </c>
      <c r="D20" s="25" t="n">
        <v>13.5</v>
      </c>
      <c r="E20" s="25" t="n">
        <v>58.6</v>
      </c>
      <c r="F20" s="25" t="n">
        <v>4.3</v>
      </c>
      <c r="G20" s="25" t="n">
        <v>2.7</v>
      </c>
      <c r="H20" s="25" t="n">
        <v>34.3</v>
      </c>
      <c r="I20" s="25" t="n">
        <v>15.7</v>
      </c>
      <c r="J20" s="25" t="n">
        <v>83.3</v>
      </c>
      <c r="K20" s="25" t="n">
        <v>48.6</v>
      </c>
      <c r="L20" s="25" t="n">
        <v>1.4</v>
      </c>
      <c r="M20" s="25" t="n">
        <v>1.5</v>
      </c>
      <c r="N20" s="25" t="n">
        <v>20</v>
      </c>
      <c r="O20" s="25" t="n">
        <v>11.4</v>
      </c>
      <c r="P20" s="25" t="n">
        <v>95.8</v>
      </c>
      <c r="Q20" s="26" t="n">
        <v>0.547</v>
      </c>
      <c r="R20" s="26" t="n">
        <v>0.641</v>
      </c>
      <c r="S20" s="8" t="n">
        <f aca="false">IF(A20="","",IF(AND(G20=0,H20=0,I20=0),"",ROUND(100*(Settings!$B$9*(Settings!$B$5*IFERROR(PERCENTRANK($G$6:$G$69,G20),0.5)+Settings!$B$6*IFERROR(PERCENTRANK($I$6:$I$69,I20),0.5)+Settings!$B$7*IFERROR(PERCENTRANK($H$6:$H$69,H20),0.5)+Settings!$B$8*IFERROR(PERCENTRANK($E$6:$E$69,E20),0.5))+Settings!$B$10*(1-IFERROR(AVERAGEIF($A$6:$A$69,B20,$P$6:$P$69)/100,0.5))),1)))</f>
        <v>55.5</v>
      </c>
      <c r="T20" s="7" t="str">
        <f aca="false">IF(A20="","",IF(S20="","LOW SAMPLE",IF(OR(R20&gt;=Settings!$B$18,R20&lt;=1-Settings!$B$18,Q20&gt;=Settings!$B$19,Q20&lt;=1-Settings!$B$19),"CAUTION",IF(S20&gt;=Settings!$B$11,"HIGH",IF(S20&gt;=Settings!$B$12,"MEDIUM","LOW")))))</f>
        <v>MEDIUM</v>
      </c>
      <c r="U20" s="27" t="n">
        <f aca="false">IF(X20="","",RANK(X20,$X$6:$X$69))</f>
        <v>9</v>
      </c>
      <c r="V20" s="9" t="str">
        <f aca="false">IF(A20="","",IF(T20="LOW SAMPLE","Not enough data — this combination has barely played together. Ignore tonight.",IF(T20="CAUTION","CAUTION: extreme CF%/xGF% split — likely a tiny sample, numbers unreliable. Left out of Top 3 and team score. ",T20&amp;" scoring chance. ")&amp;IF(F20-G20&gt;=Settings!$B$13,"Finishing above its xG — regression risk. ",IF(G20-F20&gt;=Settings!$B$13,"Creating more than it scores — due for goals. ","Goals in line with chances. "))&amp;IF(I20&gt;=LARGE($I$6:$I$69,3),"Top-3 high-danger creator on the slate. ","")&amp;"Faces "&amp;B20&amp;" (opp avg D-Score "&amp;TEXT(IFERROR(AVERAGEIF($A$6:$A$69,B20,$P$6:$P$69),0),"0")&amp;")."))</f>
        <v>MEDIUM scoring chance. Finishing above its xG — regression risk. Top-3 high-danger creator on the slate. Faces Ducks (opp avg D-Score 60).</v>
      </c>
      <c r="W20" s="1" t="str">
        <f aca="false">IF(A20="","",IF(COUNTIF($A$6:A20,A20)=1,MAX($W$5:W19)+1,""))</f>
        <v/>
      </c>
      <c r="X20" s="1" t="n">
        <f aca="false">IF(OR(S20="",T20="CAUTION"),"",S20+ROW()/1000000)</f>
        <v>55.50002</v>
      </c>
      <c r="Y20" s="1" t="n">
        <f aca="false">IF(OR(S20="",T20="CAUTION"),0,S20*D20)</f>
        <v>749.25</v>
      </c>
      <c r="Z20" s="28" t="n">
        <f aca="false">IF(OR(S20="",T20="CAUTION"),0,D20)</f>
        <v>13.5</v>
      </c>
    </row>
    <row r="21" customFormat="false" ht="30" hidden="false" customHeight="true" outlineLevel="0" collapsed="false">
      <c r="A21" s="24" t="s">
        <v>47</v>
      </c>
      <c r="B21" s="24" t="s">
        <v>49</v>
      </c>
      <c r="C21" s="24" t="s">
        <v>82</v>
      </c>
      <c r="D21" s="25" t="n">
        <v>10.5</v>
      </c>
      <c r="E21" s="25" t="n">
        <v>56.5</v>
      </c>
      <c r="F21" s="25" t="n">
        <v>2.6</v>
      </c>
      <c r="G21" s="25" t="n">
        <v>2.8</v>
      </c>
      <c r="H21" s="25" t="n">
        <v>27.1</v>
      </c>
      <c r="I21" s="25" t="n">
        <v>11.8</v>
      </c>
      <c r="J21" s="25" t="n">
        <v>29.2</v>
      </c>
      <c r="K21" s="25" t="n">
        <v>55.2</v>
      </c>
      <c r="L21" s="25" t="n">
        <v>2.8</v>
      </c>
      <c r="M21" s="25" t="n">
        <v>2.6</v>
      </c>
      <c r="N21" s="25" t="n">
        <v>27.4</v>
      </c>
      <c r="O21" s="25" t="n">
        <v>11.1</v>
      </c>
      <c r="P21" s="25" t="n">
        <v>45.8</v>
      </c>
      <c r="Q21" s="26" t="n">
        <v>0.506</v>
      </c>
      <c r="R21" s="26" t="n">
        <v>0.515</v>
      </c>
      <c r="S21" s="8" t="n">
        <f aca="false">IF(A21="","",IF(AND(G21=0,H21=0,I21=0),"",ROUND(100*(Settings!$B$9*(Settings!$B$5*IFERROR(PERCENTRANK($G$6:$G$69,G21),0.5)+Settings!$B$6*IFERROR(PERCENTRANK($I$6:$I$69,I21),0.5)+Settings!$B$7*IFERROR(PERCENTRANK($H$6:$H$69,H21),0.5)+Settings!$B$8*IFERROR(PERCENTRANK($E$6:$E$69,E21),0.5))+Settings!$B$10*(1-IFERROR(AVERAGEIF($A$6:$A$69,B21,$P$6:$P$69)/100,0.5))),1)))</f>
        <v>38.5</v>
      </c>
      <c r="T21" s="7" t="str">
        <f aca="false">IF(A21="","",IF(S21="","LOW SAMPLE",IF(OR(R21&gt;=Settings!$B$18,R21&lt;=1-Settings!$B$18,Q21&gt;=Settings!$B$19,Q21&lt;=1-Settings!$B$19),"CAUTION",IF(S21&gt;=Settings!$B$11,"HIGH",IF(S21&gt;=Settings!$B$12,"MEDIUM","LOW")))))</f>
        <v>LOW</v>
      </c>
      <c r="U21" s="27" t="n">
        <f aca="false">IF(X21="","",RANK(X21,$X$6:$X$69))</f>
        <v>16</v>
      </c>
      <c r="V21" s="9" t="str">
        <f aca="false">IF(A21="","",IF(T21="LOW SAMPLE","Not enough data — this combination has barely played together. Ignore tonight.",IF(T21="CAUTION","CAUTION: extreme CF%/xGF% split — likely a tiny sample, numbers unreliable. Left out of Top 3 and team score. ",T21&amp;" scoring chance. ")&amp;IF(F21-G21&gt;=Settings!$B$13,"Finishing above its xG — regression risk. ",IF(G21-F21&gt;=Settings!$B$13,"Creating more than it scores — due for goals. ","Goals in line with chances. "))&amp;IF(I21&gt;=LARGE($I$6:$I$69,3),"Top-3 high-danger creator on the slate. ","")&amp;"Faces "&amp;B21&amp;" (opp avg D-Score "&amp;TEXT(IFERROR(AVERAGEIF($A$6:$A$69,B21,$P$6:$P$69),0),"0")&amp;")."))</f>
        <v>LOW scoring chance. Goals in line with chances. Faces Ducks (opp avg D-Score 60).</v>
      </c>
      <c r="W21" s="1" t="str">
        <f aca="false">IF(A21="","",IF(COUNTIF($A$6:A21,A21)=1,MAX($W$5:W20)+1,""))</f>
        <v/>
      </c>
      <c r="X21" s="1" t="n">
        <f aca="false">IF(OR(S21="",T21="CAUTION"),"",S21+ROW()/1000000)</f>
        <v>38.500021</v>
      </c>
      <c r="Y21" s="1" t="n">
        <f aca="false">IF(OR(S21="",T21="CAUTION"),0,S21*D21)</f>
        <v>404.25</v>
      </c>
      <c r="Z21" s="28" t="n">
        <f aca="false">IF(OR(S21="",T21="CAUTION"),0,D21)</f>
        <v>10.5</v>
      </c>
    </row>
    <row r="22" customFormat="false" ht="30" hidden="false" customHeight="true" outlineLevel="0" collapsed="false">
      <c r="A22" s="24" t="s">
        <v>39</v>
      </c>
      <c r="B22" s="24" t="s">
        <v>36</v>
      </c>
      <c r="C22" s="24" t="s">
        <v>79</v>
      </c>
      <c r="D22" s="25" t="n">
        <v>17.3</v>
      </c>
      <c r="E22" s="25" t="n">
        <v>66.2</v>
      </c>
      <c r="F22" s="25" t="n">
        <v>2.4</v>
      </c>
      <c r="G22" s="25" t="n">
        <v>3.7</v>
      </c>
      <c r="H22" s="25" t="n">
        <v>30.8</v>
      </c>
      <c r="I22" s="25" t="n">
        <v>13</v>
      </c>
      <c r="J22" s="25" t="n">
        <v>66.7</v>
      </c>
      <c r="K22" s="25" t="n">
        <v>72.1</v>
      </c>
      <c r="L22" s="25" t="n">
        <v>3.5</v>
      </c>
      <c r="M22" s="25" t="n">
        <v>3.8</v>
      </c>
      <c r="N22" s="25" t="n">
        <v>35.5</v>
      </c>
      <c r="O22" s="25" t="n">
        <v>20.1</v>
      </c>
      <c r="P22" s="25" t="n">
        <v>8.3</v>
      </c>
      <c r="Q22" s="26" t="n">
        <v>0.479</v>
      </c>
      <c r="R22" s="26" t="n">
        <v>0.494</v>
      </c>
      <c r="S22" s="8" t="n">
        <f aca="false">IF(A22="","",IF(AND(G22=0,H22=0,I22=0),"",ROUND(100*(Settings!$B$9*(Settings!$B$5*IFERROR(PERCENTRANK($G$6:$G$69,G22),0.5)+Settings!$B$6*IFERROR(PERCENTRANK($I$6:$I$69,I22),0.5)+Settings!$B$7*IFERROR(PERCENTRANK($H$6:$H$69,H22),0.5)+Settings!$B$8*IFERROR(PERCENTRANK($E$6:$E$69,E22),0.5))+Settings!$B$10*(1-IFERROR(AVERAGEIF($A$6:$A$69,B22,$P$6:$P$69)/100,0.5))),1)))</f>
        <v>60.9</v>
      </c>
      <c r="T22" s="7" t="str">
        <f aca="false">IF(A22="","",IF(S22="","LOW SAMPLE",IF(OR(R22&gt;=Settings!$B$18,R22&lt;=1-Settings!$B$18,Q22&gt;=Settings!$B$19,Q22&lt;=1-Settings!$B$19),"CAUTION",IF(S22&gt;=Settings!$B$11,"HIGH",IF(S22&gt;=Settings!$B$12,"MEDIUM","LOW")))))</f>
        <v>MEDIUM</v>
      </c>
      <c r="U22" s="27" t="n">
        <f aca="false">IF(X22="","",RANK(X22,$X$6:$X$69))</f>
        <v>7</v>
      </c>
      <c r="V22" s="9" t="str">
        <f aca="false">IF(A22="","",IF(T22="LOW SAMPLE","Not enough data — this combination has barely played together. Ignore tonight.",IF(T22="CAUTION","CAUTION: extreme CF%/xGF% split — likely a tiny sample, numbers unreliable. Left out of Top 3 and team score. ",T22&amp;" scoring chance. ")&amp;IF(F22-G22&gt;=Settings!$B$13,"Finishing above its xG — regression risk. ",IF(G22-F22&gt;=Settings!$B$13,"Creating more than it scores — due for goals. ","Goals in line with chances. "))&amp;IF(I22&gt;=LARGE($I$6:$I$69,3),"Top-3 high-danger creator on the slate. ","")&amp;"Faces "&amp;B22&amp;" (opp avg D-Score "&amp;TEXT(IFERROR(AVERAGEIF($A$6:$A$69,B22,$P$6:$P$69),0),"0")&amp;")."))</f>
        <v>MEDIUM scoring chance. Creating more than it scores — due for goals. Faces Avalanche (opp avg D-Score 59).</v>
      </c>
      <c r="W22" s="1" t="n">
        <f aca="false">IF(A22="","",IF(COUNTIF($A$6:A22,A22)=1,MAX($W$5:W21)+1,""))</f>
        <v>5</v>
      </c>
      <c r="X22" s="1" t="n">
        <f aca="false">IF(OR(S22="",T22="CAUTION"),"",S22+ROW()/1000000)</f>
        <v>60.900022</v>
      </c>
      <c r="Y22" s="1" t="n">
        <f aca="false">IF(OR(S22="",T22="CAUTION"),0,S22*D22)</f>
        <v>1053.57</v>
      </c>
      <c r="Z22" s="28" t="n">
        <f aca="false">IF(OR(S22="",T22="CAUTION"),0,D22)</f>
        <v>17.3</v>
      </c>
    </row>
    <row r="23" customFormat="false" ht="30" hidden="false" customHeight="true" outlineLevel="0" collapsed="false">
      <c r="A23" s="24" t="s">
        <v>39</v>
      </c>
      <c r="B23" s="24" t="s">
        <v>36</v>
      </c>
      <c r="C23" s="24" t="s">
        <v>80</v>
      </c>
      <c r="D23" s="25" t="n">
        <v>16.5</v>
      </c>
      <c r="E23" s="25" t="n">
        <v>54.9</v>
      </c>
      <c r="F23" s="25" t="n">
        <v>0</v>
      </c>
      <c r="G23" s="25" t="n">
        <v>3.3</v>
      </c>
      <c r="H23" s="25" t="n">
        <v>34.6</v>
      </c>
      <c r="I23" s="25" t="n">
        <v>10.2</v>
      </c>
      <c r="J23" s="25" t="n">
        <v>45.8</v>
      </c>
      <c r="K23" s="25" t="n">
        <v>61</v>
      </c>
      <c r="L23" s="25" t="n">
        <v>4.1</v>
      </c>
      <c r="M23" s="25" t="n">
        <v>4</v>
      </c>
      <c r="N23" s="25" t="n">
        <v>32.5</v>
      </c>
      <c r="O23" s="25" t="n">
        <v>22.4</v>
      </c>
      <c r="P23" s="25" t="n">
        <v>12.5</v>
      </c>
      <c r="Q23" s="26" t="n">
        <v>0.474</v>
      </c>
      <c r="R23" s="26" t="n">
        <v>0.448</v>
      </c>
      <c r="S23" s="8" t="n">
        <f aca="false">IF(A23="","",IF(AND(G23=0,H23=0,I23=0),"",ROUND(100*(Settings!$B$9*(Settings!$B$5*IFERROR(PERCENTRANK($G$6:$G$69,G23),0.5)+Settings!$B$6*IFERROR(PERCENTRANK($I$6:$I$69,I23),0.5)+Settings!$B$7*IFERROR(PERCENTRANK($H$6:$H$69,H23),0.5)+Settings!$B$8*IFERROR(PERCENTRANK($E$6:$E$69,E23),0.5))+Settings!$B$10*(1-IFERROR(AVERAGEIF($A$6:$A$69,B23,$P$6:$P$69)/100,0.5))),1)))</f>
        <v>52.1</v>
      </c>
      <c r="T23" s="7" t="str">
        <f aca="false">IF(A23="","",IF(S23="","LOW SAMPLE",IF(OR(R23&gt;=Settings!$B$18,R23&lt;=1-Settings!$B$18,Q23&gt;=Settings!$B$19,Q23&lt;=1-Settings!$B$19),"CAUTION",IF(S23&gt;=Settings!$B$11,"HIGH",IF(S23&gt;=Settings!$B$12,"MEDIUM","LOW")))))</f>
        <v>MEDIUM</v>
      </c>
      <c r="U23" s="27" t="n">
        <f aca="false">IF(X23="","",RANK(X23,$X$6:$X$69))</f>
        <v>10</v>
      </c>
      <c r="V23" s="9" t="str">
        <f aca="false">IF(A23="","",IF(T23="LOW SAMPLE","Not enough data — this combination has barely played together. Ignore tonight.",IF(T23="CAUTION","CAUTION: extreme CF%/xGF% split — likely a tiny sample, numbers unreliable. Left out of Top 3 and team score. ",T23&amp;" scoring chance. ")&amp;IF(F23-G23&gt;=Settings!$B$13,"Finishing above its xG — regression risk. ",IF(G23-F23&gt;=Settings!$B$13,"Creating more than it scores — due for goals. ","Goals in line with chances. "))&amp;IF(I23&gt;=LARGE($I$6:$I$69,3),"Top-3 high-danger creator on the slate. ","")&amp;"Faces "&amp;B23&amp;" (opp avg D-Score "&amp;TEXT(IFERROR(AVERAGEIF($A$6:$A$69,B23,$P$6:$P$69),0),"0")&amp;")."))</f>
        <v>MEDIUM scoring chance. Creating more than it scores — due for goals. Faces Avalanche (opp avg D-Score 59).</v>
      </c>
      <c r="W23" s="1" t="str">
        <f aca="false">IF(A23="","",IF(COUNTIF($A$6:A23,A23)=1,MAX($W$5:W22)+1,""))</f>
        <v/>
      </c>
      <c r="X23" s="1" t="n">
        <f aca="false">IF(OR(S23="",T23="CAUTION"),"",S23+ROW()/1000000)</f>
        <v>52.100023</v>
      </c>
      <c r="Y23" s="1" t="n">
        <f aca="false">IF(OR(S23="",T23="CAUTION"),0,S23*D23)</f>
        <v>859.65</v>
      </c>
      <c r="Z23" s="28" t="n">
        <f aca="false">IF(OR(S23="",T23="CAUTION"),0,D23)</f>
        <v>16.5</v>
      </c>
    </row>
    <row r="24" customFormat="false" ht="30" hidden="false" customHeight="true" outlineLevel="0" collapsed="false">
      <c r="A24" s="24" t="s">
        <v>39</v>
      </c>
      <c r="B24" s="24" t="s">
        <v>36</v>
      </c>
      <c r="C24" s="24" t="s">
        <v>81</v>
      </c>
      <c r="D24" s="25" t="n">
        <v>12.8</v>
      </c>
      <c r="E24" s="25" t="n">
        <v>34.8</v>
      </c>
      <c r="F24" s="25" t="n">
        <v>0</v>
      </c>
      <c r="G24" s="25" t="n">
        <v>1.4</v>
      </c>
      <c r="H24" s="25" t="n">
        <v>13.9</v>
      </c>
      <c r="I24" s="25" t="n">
        <v>9.3</v>
      </c>
      <c r="J24" s="25" t="n">
        <v>8.3</v>
      </c>
      <c r="K24" s="25" t="n">
        <v>88.3</v>
      </c>
      <c r="L24" s="25" t="n">
        <v>0</v>
      </c>
      <c r="M24" s="25" t="n">
        <v>5</v>
      </c>
      <c r="N24" s="25" t="n">
        <v>53.4</v>
      </c>
      <c r="O24" s="25" t="n">
        <v>13.9</v>
      </c>
      <c r="P24" s="25" t="n">
        <v>4.2</v>
      </c>
      <c r="Q24" s="26" t="n">
        <v>0.283</v>
      </c>
      <c r="R24" s="26" t="n">
        <v>0.214</v>
      </c>
      <c r="S24" s="8" t="n">
        <f aca="false">IF(A24="","",IF(AND(G24=0,H24=0,I24=0),"",ROUND(100*(Settings!$B$9*(Settings!$B$5*IFERROR(PERCENTRANK($G$6:$G$69,G24),0.5)+Settings!$B$6*IFERROR(PERCENTRANK($I$6:$I$69,I24),0.5)+Settings!$B$7*IFERROR(PERCENTRANK($H$6:$H$69,H24),0.5)+Settings!$B$8*IFERROR(PERCENTRANK($E$6:$E$69,E24),0.5))+Settings!$B$10*(1-IFERROR(AVERAGEIF($A$6:$A$69,B24,$P$6:$P$69)/100,0.5))),1)))</f>
        <v>19</v>
      </c>
      <c r="T24" s="7" t="str">
        <f aca="false">IF(A24="","",IF(S24="","LOW SAMPLE",IF(OR(R24&gt;=Settings!$B$18,R24&lt;=1-Settings!$B$18,Q24&gt;=Settings!$B$19,Q24&lt;=1-Settings!$B$19),"CAUTION",IF(S24&gt;=Settings!$B$11,"HIGH",IF(S24&gt;=Settings!$B$12,"MEDIUM","LOW")))))</f>
        <v>CAUTION</v>
      </c>
      <c r="U24" s="27" t="str">
        <f aca="false">IF(X24="","",RANK(X24,$X$6:$X$69))</f>
        <v/>
      </c>
      <c r="V24" s="9" t="str">
        <f aca="false">IF(A24="","",IF(T24="LOW SAMPLE","Not enough data — this combination has barely played together. Ignore tonight.",IF(T24="CAUTION","CAUTION: extreme CF%/xGF% split — likely a tiny sample, numbers unreliable. Left out of Top 3 and team score. ",T24&amp;" scoring chance. ")&amp;IF(F24-G24&gt;=Settings!$B$13,"Finishing above its xG — regression risk. ",IF(G24-F24&gt;=Settings!$B$13,"Creating more than it scores — due for goals. ","Goals in line with chances. "))&amp;IF(I24&gt;=LARGE($I$6:$I$69,3),"Top-3 high-danger creator on the slate. ","")&amp;"Faces "&amp;B24&amp;" (opp avg D-Score "&amp;TEXT(IFERROR(AVERAGEIF($A$6:$A$69,B24,$P$6:$P$69),0),"0")&amp;")."))</f>
        <v>CAUTION: extreme CF%/xGF% split — likely a tiny sample, numbers unreliable. Left out of Top 3 and team score. Creating more than it scores — due for goals. Faces Avalanche (opp avg D-Score 59).</v>
      </c>
      <c r="W24" s="1" t="str">
        <f aca="false">IF(A24="","",IF(COUNTIF($A$6:A24,A24)=1,MAX($W$5:W23)+1,""))</f>
        <v/>
      </c>
      <c r="X24" s="1" t="str">
        <f aca="false">IF(OR(S24="",T24="CAUTION"),"",S24+ROW()/1000000)</f>
        <v/>
      </c>
      <c r="Y24" s="1" t="n">
        <f aca="false">IF(OR(S24="",T24="CAUTION"),0,S24*D24)</f>
        <v>0</v>
      </c>
      <c r="Z24" s="1" t="n">
        <f aca="false">IF(OR(S24="",T24="CAUTION"),0,D24)</f>
        <v>0</v>
      </c>
    </row>
    <row r="25" customFormat="false" ht="30" hidden="false" customHeight="true" outlineLevel="0" collapsed="false">
      <c r="A25" s="24" t="s">
        <v>39</v>
      </c>
      <c r="B25" s="24" t="s">
        <v>36</v>
      </c>
      <c r="C25" s="24" t="s">
        <v>82</v>
      </c>
      <c r="D25" s="25" t="n">
        <v>10.9</v>
      </c>
      <c r="E25" s="25" t="n">
        <v>115.2</v>
      </c>
      <c r="F25" s="25" t="n">
        <v>0</v>
      </c>
      <c r="G25" s="25" t="n">
        <v>7.9</v>
      </c>
      <c r="H25" s="25" t="n">
        <v>43.2</v>
      </c>
      <c r="I25" s="25" t="n">
        <v>43.2</v>
      </c>
      <c r="J25" s="25" t="n">
        <v>37.5</v>
      </c>
      <c r="K25" s="25" t="n">
        <v>57.6</v>
      </c>
      <c r="L25" s="25" t="n">
        <v>0</v>
      </c>
      <c r="M25" s="25" t="n">
        <v>1.9</v>
      </c>
      <c r="N25" s="25" t="n">
        <v>43.2</v>
      </c>
      <c r="O25" s="25" t="n">
        <v>28.8</v>
      </c>
      <c r="P25" s="25" t="n">
        <v>58.3</v>
      </c>
      <c r="Q25" s="26" t="n">
        <v>0.667</v>
      </c>
      <c r="R25" s="26" t="n">
        <v>0.806</v>
      </c>
      <c r="S25" s="8" t="n">
        <f aca="false">IF(A25="","",IF(AND(G25=0,H25=0,I25=0),"",ROUND(100*(Settings!$B$9*(Settings!$B$5*IFERROR(PERCENTRANK($G$6:$G$69,G25),0.5)+Settings!$B$6*IFERROR(PERCENTRANK($I$6:$I$69,I25),0.5)+Settings!$B$7*IFERROR(PERCENTRANK($H$6:$H$69,H25),0.5)+Settings!$B$8*IFERROR(PERCENTRANK($E$6:$E$69,E25),0.5))+Settings!$B$10*(1-IFERROR(AVERAGEIF($A$6:$A$69,B25,$P$6:$P$69)/100,0.5))),1)))</f>
        <v>82.2</v>
      </c>
      <c r="T25" s="7" t="str">
        <f aca="false">IF(A25="","",IF(S25="","LOW SAMPLE",IF(OR(R25&gt;=Settings!$B$18,R25&lt;=1-Settings!$B$18,Q25&gt;=Settings!$B$19,Q25&lt;=1-Settings!$B$19),"CAUTION",IF(S25&gt;=Settings!$B$11,"HIGH",IF(S25&gt;=Settings!$B$12,"MEDIUM","LOW")))))</f>
        <v>CAUTION</v>
      </c>
      <c r="U25" s="27" t="str">
        <f aca="false">IF(X25="","",RANK(X25,$X$6:$X$69))</f>
        <v/>
      </c>
      <c r="V25" s="9" t="str">
        <f aca="false">IF(A25="","",IF(T25="LOW SAMPLE","Not enough data — this combination has barely played together. Ignore tonight.",IF(T25="CAUTION","CAUTION: extreme CF%/xGF% split — likely a tiny sample, numbers unreliable. Left out of Top 3 and team score. ",T25&amp;" scoring chance. ")&amp;IF(F25-G25&gt;=Settings!$B$13,"Finishing above its xG — regression risk. ",IF(G25-F25&gt;=Settings!$B$13,"Creating more than it scores — due for goals. ","Goals in line with chances. "))&amp;IF(I25&gt;=LARGE($I$6:$I$69,3),"Top-3 high-danger creator on the slate. ","")&amp;"Faces "&amp;B25&amp;" (opp avg D-Score "&amp;TEXT(IFERROR(AVERAGEIF($A$6:$A$69,B25,$P$6:$P$69),0),"0")&amp;")."))</f>
        <v>CAUTION: extreme CF%/xGF% split — likely a tiny sample, numbers unreliable. Left out of Top 3 and team score. Creating more than it scores — due for goals. Top-3 high-danger creator on the slate. Faces Avalanche (opp avg D-Score 59).</v>
      </c>
      <c r="W25" s="1" t="str">
        <f aca="false">IF(A25="","",IF(COUNTIF($A$6:A25,A25)=1,MAX($W$5:W24)+1,""))</f>
        <v/>
      </c>
      <c r="X25" s="1" t="str">
        <f aca="false">IF(OR(S25="",T25="CAUTION"),"",S25+ROW()/1000000)</f>
        <v/>
      </c>
      <c r="Y25" s="1" t="n">
        <f aca="false">IF(OR(S25="",T25="CAUTION"),0,S25*D25)</f>
        <v>0</v>
      </c>
      <c r="Z25" s="1" t="n">
        <f aca="false">IF(OR(S25="",T25="CAUTION"),0,D25)</f>
        <v>0</v>
      </c>
    </row>
    <row r="26" customFormat="false" ht="30" hidden="false" customHeight="true" outlineLevel="0" collapsed="false">
      <c r="A26" s="24" t="s">
        <v>36</v>
      </c>
      <c r="B26" s="24" t="s">
        <v>39</v>
      </c>
      <c r="C26" s="24" t="s">
        <v>79</v>
      </c>
      <c r="D26" s="25" t="n">
        <v>17.1</v>
      </c>
      <c r="E26" s="25" t="n">
        <v>76.2</v>
      </c>
      <c r="F26" s="25" t="n">
        <v>5</v>
      </c>
      <c r="G26" s="25" t="n">
        <v>3.7</v>
      </c>
      <c r="H26" s="25" t="n">
        <v>41.6</v>
      </c>
      <c r="I26" s="25" t="n">
        <v>15.1</v>
      </c>
      <c r="J26" s="25" t="n">
        <v>100</v>
      </c>
      <c r="K26" s="25" t="n">
        <v>60</v>
      </c>
      <c r="L26" s="25" t="n">
        <v>2.1</v>
      </c>
      <c r="M26" s="25" t="n">
        <v>2.8</v>
      </c>
      <c r="N26" s="25" t="n">
        <v>27.8</v>
      </c>
      <c r="O26" s="25" t="n">
        <v>12.7</v>
      </c>
      <c r="P26" s="25" t="n">
        <v>33.3</v>
      </c>
      <c r="Q26" s="26" t="n">
        <v>0.559</v>
      </c>
      <c r="R26" s="26" t="n">
        <v>0.567</v>
      </c>
      <c r="S26" s="8" t="n">
        <f aca="false">IF(A26="","",IF(AND(G26=0,H26=0,I26=0),"",ROUND(100*(Settings!$B$9*(Settings!$B$5*IFERROR(PERCENTRANK($G$6:$G$69,G26),0.5)+Settings!$B$6*IFERROR(PERCENTRANK($I$6:$I$69,I26),0.5)+Settings!$B$7*IFERROR(PERCENTRANK($H$6:$H$69,H26),0.5)+Settings!$B$8*IFERROR(PERCENTRANK($E$6:$E$69,E26),0.5))+Settings!$B$10*(1-IFERROR(AVERAGEIF($A$6:$A$69,B26,$P$6:$P$69)/100,0.5))),1)))</f>
        <v>87.8</v>
      </c>
      <c r="T26" s="7" t="str">
        <f aca="false">IF(A26="","",IF(S26="","LOW SAMPLE",IF(OR(R26&gt;=Settings!$B$18,R26&lt;=1-Settings!$B$18,Q26&gt;=Settings!$B$19,Q26&lt;=1-Settings!$B$19),"CAUTION",IF(S26&gt;=Settings!$B$11,"HIGH",IF(S26&gt;=Settings!$B$12,"MEDIUM","LOW")))))</f>
        <v>HIGH</v>
      </c>
      <c r="U26" s="27" t="n">
        <f aca="false">IF(X26="","",RANK(X26,$X$6:$X$69))</f>
        <v>1</v>
      </c>
      <c r="V26" s="9" t="str">
        <f aca="false">IF(A26="","",IF(T26="LOW SAMPLE","Not enough data — this combination has barely played together. Ignore tonight.",IF(T26="CAUTION","CAUTION: extreme CF%/xGF% split — likely a tiny sample, numbers unreliable. Left out of Top 3 and team score. ",T26&amp;" scoring chance. ")&amp;IF(F26-G26&gt;=Settings!$B$13,"Finishing above its xG — regression risk. ",IF(G26-F26&gt;=Settings!$B$13,"Creating more than it scores — due for goals. ","Goals in line with chances. "))&amp;IF(I26&gt;=LARGE($I$6:$I$69,3),"Top-3 high-danger creator on the slate. ","")&amp;"Faces "&amp;B26&amp;" (opp avg D-Score "&amp;TEXT(IFERROR(AVERAGEIF($A$6:$A$69,B26,$P$6:$P$69),0),"0")&amp;")."))</f>
        <v>HIGH scoring chance. Finishing above its xG — regression risk. Faces Jets (opp avg D-Score 21).</v>
      </c>
      <c r="W26" s="1" t="n">
        <f aca="false">IF(A26="","",IF(COUNTIF($A$6:A26,A26)=1,MAX($W$5:W25)+1,""))</f>
        <v>6</v>
      </c>
      <c r="X26" s="1" t="n">
        <f aca="false">IF(OR(S26="",T26="CAUTION"),"",S26+ROW()/1000000)</f>
        <v>87.800026</v>
      </c>
      <c r="Y26" s="1" t="n">
        <f aca="false">IF(OR(S26="",T26="CAUTION"),0,S26*D26)</f>
        <v>1501.38</v>
      </c>
      <c r="Z26" s="28" t="n">
        <f aca="false">IF(OR(S26="",T26="CAUTION"),0,D26)</f>
        <v>17.1</v>
      </c>
    </row>
    <row r="27" customFormat="false" ht="30" hidden="false" customHeight="true" outlineLevel="0" collapsed="false">
      <c r="A27" s="24" t="s">
        <v>36</v>
      </c>
      <c r="B27" s="24" t="s">
        <v>39</v>
      </c>
      <c r="C27" s="24" t="s">
        <v>80</v>
      </c>
      <c r="D27" s="25" t="n">
        <v>15</v>
      </c>
      <c r="E27" s="25" t="n">
        <v>33.8</v>
      </c>
      <c r="F27" s="25" t="n">
        <v>2.1</v>
      </c>
      <c r="G27" s="25" t="n">
        <v>1.1</v>
      </c>
      <c r="H27" s="25" t="n">
        <v>16.9</v>
      </c>
      <c r="I27" s="25" t="n">
        <v>6.3</v>
      </c>
      <c r="J27" s="25" t="n">
        <v>4.2</v>
      </c>
      <c r="K27" s="25" t="n">
        <v>65.5</v>
      </c>
      <c r="L27" s="25" t="n">
        <v>0</v>
      </c>
      <c r="M27" s="25" t="n">
        <v>3.9</v>
      </c>
      <c r="N27" s="25" t="n">
        <v>25.4</v>
      </c>
      <c r="O27" s="25" t="n">
        <v>12.7</v>
      </c>
      <c r="P27" s="25" t="n">
        <v>37.5</v>
      </c>
      <c r="Q27" s="26" t="n">
        <v>0.34</v>
      </c>
      <c r="R27" s="26" t="n">
        <v>0.216</v>
      </c>
      <c r="S27" s="8" t="n">
        <f aca="false">IF(A27="","",IF(AND(G27=0,H27=0,I27=0),"",ROUND(100*(Settings!$B$9*(Settings!$B$5*IFERROR(PERCENTRANK($G$6:$G$69,G27),0.5)+Settings!$B$6*IFERROR(PERCENTRANK($I$6:$I$69,I27),0.5)+Settings!$B$7*IFERROR(PERCENTRANK($H$6:$H$69,H27),0.5)+Settings!$B$8*IFERROR(PERCENTRANK($E$6:$E$69,E27),0.5))+Settings!$B$10*(1-IFERROR(AVERAGEIF($A$6:$A$69,B27,$P$6:$P$69)/100,0.5))),1)))</f>
        <v>27.9</v>
      </c>
      <c r="T27" s="7" t="str">
        <f aca="false">IF(A27="","",IF(S27="","LOW SAMPLE",IF(OR(R27&gt;=Settings!$B$18,R27&lt;=1-Settings!$B$18,Q27&gt;=Settings!$B$19,Q27&lt;=1-Settings!$B$19),"CAUTION",IF(S27&gt;=Settings!$B$11,"HIGH",IF(S27&gt;=Settings!$B$12,"MEDIUM","LOW")))))</f>
        <v>CAUTION</v>
      </c>
      <c r="U27" s="27" t="str">
        <f aca="false">IF(X27="","",RANK(X27,$X$6:$X$69))</f>
        <v/>
      </c>
      <c r="V27" s="9" t="str">
        <f aca="false">IF(A27="","",IF(T27="LOW SAMPLE","Not enough data — this combination has barely played together. Ignore tonight.",IF(T27="CAUTION","CAUTION: extreme CF%/xGF% split — likely a tiny sample, numbers unreliable. Left out of Top 3 and team score. ",T27&amp;" scoring chance. ")&amp;IF(F27-G27&gt;=Settings!$B$13,"Finishing above its xG — regression risk. ",IF(G27-F27&gt;=Settings!$B$13,"Creating more than it scores — due for goals. ","Goals in line with chances. "))&amp;IF(I27&gt;=LARGE($I$6:$I$69,3),"Top-3 high-danger creator on the slate. ","")&amp;"Faces "&amp;B27&amp;" (opp avg D-Score "&amp;TEXT(IFERROR(AVERAGEIF($A$6:$A$69,B27,$P$6:$P$69),0),"0")&amp;")."))</f>
        <v>CAUTION: extreme CF%/xGF% split — likely a tiny sample, numbers unreliable. Left out of Top 3 and team score. Finishing above its xG — regression risk. Faces Jets (opp avg D-Score 21).</v>
      </c>
      <c r="W27" s="1" t="str">
        <f aca="false">IF(A27="","",IF(COUNTIF($A$6:A27,A27)=1,MAX($W$5:W26)+1,""))</f>
        <v/>
      </c>
      <c r="X27" s="1" t="str">
        <f aca="false">IF(OR(S27="",T27="CAUTION"),"",S27+ROW()/1000000)</f>
        <v/>
      </c>
      <c r="Y27" s="1" t="n">
        <f aca="false">IF(OR(S27="",T27="CAUTION"),0,S27*D27)</f>
        <v>0</v>
      </c>
      <c r="Z27" s="1" t="n">
        <f aca="false">IF(OR(S27="",T27="CAUTION"),0,D27)</f>
        <v>0</v>
      </c>
    </row>
    <row r="28" customFormat="false" ht="30" hidden="false" customHeight="true" outlineLevel="0" collapsed="false">
      <c r="A28" s="24" t="s">
        <v>36</v>
      </c>
      <c r="B28" s="24" t="s">
        <v>39</v>
      </c>
      <c r="C28" s="24" t="s">
        <v>81</v>
      </c>
      <c r="D28" s="25" t="n">
        <v>13.5</v>
      </c>
      <c r="E28" s="25" t="n">
        <v>70.1</v>
      </c>
      <c r="F28" s="25" t="n">
        <v>3.3</v>
      </c>
      <c r="G28" s="25" t="n">
        <v>3.2</v>
      </c>
      <c r="H28" s="25" t="n">
        <v>33.6</v>
      </c>
      <c r="I28" s="25" t="n">
        <v>13.4</v>
      </c>
      <c r="J28" s="25" t="n">
        <v>87.5</v>
      </c>
      <c r="K28" s="25" t="n">
        <v>53.8</v>
      </c>
      <c r="L28" s="25" t="n">
        <v>1.9</v>
      </c>
      <c r="M28" s="25" t="n">
        <v>2.5</v>
      </c>
      <c r="N28" s="25" t="n">
        <v>24.7</v>
      </c>
      <c r="O28" s="25" t="n">
        <v>10.7</v>
      </c>
      <c r="P28" s="25" t="n">
        <v>75</v>
      </c>
      <c r="Q28" s="26" t="n">
        <v>0.566</v>
      </c>
      <c r="R28" s="26" t="n">
        <v>0.564</v>
      </c>
      <c r="S28" s="8" t="n">
        <f aca="false">IF(A28="","",IF(AND(G28=0,H28=0,I28=0),"",ROUND(100*(Settings!$B$9*(Settings!$B$5*IFERROR(PERCENTRANK($G$6:$G$69,G28),0.5)+Settings!$B$6*IFERROR(PERCENTRANK($I$6:$I$69,I28),0.5)+Settings!$B$7*IFERROR(PERCENTRANK($H$6:$H$69,H28),0.5)+Settings!$B$8*IFERROR(PERCENTRANK($E$6:$E$69,E28),0.5))+Settings!$B$10*(1-IFERROR(AVERAGEIF($A$6:$A$69,B28,$P$6:$P$69)/100,0.5))),1)))</f>
        <v>71.8</v>
      </c>
      <c r="T28" s="7" t="str">
        <f aca="false">IF(A28="","",IF(S28="","LOW SAMPLE",IF(OR(R28&gt;=Settings!$B$18,R28&lt;=1-Settings!$B$18,Q28&gt;=Settings!$B$19,Q28&lt;=1-Settings!$B$19),"CAUTION",IF(S28&gt;=Settings!$B$11,"HIGH",IF(S28&gt;=Settings!$B$12,"MEDIUM","LOW")))))</f>
        <v>HIGH</v>
      </c>
      <c r="U28" s="27" t="n">
        <f aca="false">IF(X28="","",RANK(X28,$X$6:$X$69))</f>
        <v>2</v>
      </c>
      <c r="V28" s="9" t="str">
        <f aca="false">IF(A28="","",IF(T28="LOW SAMPLE","Not enough data — this combination has barely played together. Ignore tonight.",IF(T28="CAUTION","CAUTION: extreme CF%/xGF% split — likely a tiny sample, numbers unreliable. Left out of Top 3 and team score. ",T28&amp;" scoring chance. ")&amp;IF(F28-G28&gt;=Settings!$B$13,"Finishing above its xG — regression risk. ",IF(G28-F28&gt;=Settings!$B$13,"Creating more than it scores — due for goals. ","Goals in line with chances. "))&amp;IF(I28&gt;=LARGE($I$6:$I$69,3),"Top-3 high-danger creator on the slate. ","")&amp;"Faces "&amp;B28&amp;" (opp avg D-Score "&amp;TEXT(IFERROR(AVERAGEIF($A$6:$A$69,B28,$P$6:$P$69),0),"0")&amp;")."))</f>
        <v>HIGH scoring chance. Goals in line with chances. Faces Jets (opp avg D-Score 21).</v>
      </c>
      <c r="W28" s="1" t="str">
        <f aca="false">IF(A28="","",IF(COUNTIF($A$6:A28,A28)=1,MAX($W$5:W27)+1,""))</f>
        <v/>
      </c>
      <c r="X28" s="1" t="n">
        <f aca="false">IF(OR(S28="",T28="CAUTION"),"",S28+ROW()/1000000)</f>
        <v>71.800028</v>
      </c>
      <c r="Y28" s="1" t="n">
        <f aca="false">IF(OR(S28="",T28="CAUTION"),0,S28*D28)</f>
        <v>969.3</v>
      </c>
      <c r="Z28" s="28" t="n">
        <f aca="false">IF(OR(S28="",T28="CAUTION"),0,D28)</f>
        <v>13.5</v>
      </c>
    </row>
    <row r="29" customFormat="false" ht="30" hidden="false" customHeight="true" outlineLevel="0" collapsed="false">
      <c r="A29" s="24" t="s">
        <v>36</v>
      </c>
      <c r="B29" s="24" t="s">
        <v>39</v>
      </c>
      <c r="C29" s="24" t="s">
        <v>82</v>
      </c>
      <c r="D29" s="25" t="n">
        <v>10.5</v>
      </c>
      <c r="E29" s="25" t="n">
        <v>74.2</v>
      </c>
      <c r="F29" s="25" t="n">
        <v>4.5</v>
      </c>
      <c r="G29" s="25" t="n">
        <v>3.1</v>
      </c>
      <c r="H29" s="25" t="n">
        <v>38.2</v>
      </c>
      <c r="I29" s="25" t="n">
        <v>12.4</v>
      </c>
      <c r="J29" s="25" t="n">
        <v>95.8</v>
      </c>
      <c r="K29" s="25" t="n">
        <v>57.3</v>
      </c>
      <c r="L29" s="25" t="n">
        <v>0</v>
      </c>
      <c r="M29" s="25" t="n">
        <v>2.6</v>
      </c>
      <c r="N29" s="25" t="n">
        <v>27</v>
      </c>
      <c r="O29" s="25" t="n">
        <v>10.1</v>
      </c>
      <c r="P29" s="25" t="n">
        <v>91.7</v>
      </c>
      <c r="Q29" s="26" t="n">
        <v>0.564</v>
      </c>
      <c r="R29" s="26" t="n">
        <v>0.546</v>
      </c>
      <c r="S29" s="8" t="n">
        <f aca="false">IF(A29="","",IF(AND(G29=0,H29=0,I29=0),"",ROUND(100*(Settings!$B$9*(Settings!$B$5*IFERROR(PERCENTRANK($G$6:$G$69,G29),0.5)+Settings!$B$6*IFERROR(PERCENTRANK($I$6:$I$69,I29),0.5)+Settings!$B$7*IFERROR(PERCENTRANK($H$6:$H$69,H29),0.5)+Settings!$B$8*IFERROR(PERCENTRANK($E$6:$E$69,E29),0.5))+Settings!$B$10*(1-IFERROR(AVERAGEIF($A$6:$A$69,B29,$P$6:$P$69)/100,0.5))),1)))</f>
        <v>70.5</v>
      </c>
      <c r="T29" s="7" t="str">
        <f aca="false">IF(A29="","",IF(S29="","LOW SAMPLE",IF(OR(R29&gt;=Settings!$B$18,R29&lt;=1-Settings!$B$18,Q29&gt;=Settings!$B$19,Q29&lt;=1-Settings!$B$19),"CAUTION",IF(S29&gt;=Settings!$B$11,"HIGH",IF(S29&gt;=Settings!$B$12,"MEDIUM","LOW")))))</f>
        <v>HIGH</v>
      </c>
      <c r="U29" s="27" t="n">
        <f aca="false">IF(X29="","",RANK(X29,$X$6:$X$69))</f>
        <v>4</v>
      </c>
      <c r="V29" s="9" t="str">
        <f aca="false">IF(A29="","",IF(T29="LOW SAMPLE","Not enough data — this combination has barely played together. Ignore tonight.",IF(T29="CAUTION","CAUTION: extreme CF%/xGF% split — likely a tiny sample, numbers unreliable. Left out of Top 3 and team score. ",T29&amp;" scoring chance. ")&amp;IF(F29-G29&gt;=Settings!$B$13,"Finishing above its xG — regression risk. ",IF(G29-F29&gt;=Settings!$B$13,"Creating more than it scores — due for goals. ","Goals in line with chances. "))&amp;IF(I29&gt;=LARGE($I$6:$I$69,3),"Top-3 high-danger creator on the slate. ","")&amp;"Faces "&amp;B29&amp;" (opp avg D-Score "&amp;TEXT(IFERROR(AVERAGEIF($A$6:$A$69,B29,$P$6:$P$69),0),"0")&amp;")."))</f>
        <v>HIGH scoring chance. Finishing above its xG — regression risk. Faces Jets (opp avg D-Score 21).</v>
      </c>
      <c r="W29" s="1" t="str">
        <f aca="false">IF(A29="","",IF(COUNTIF($A$6:A29,A29)=1,MAX($W$5:W28)+1,""))</f>
        <v/>
      </c>
      <c r="X29" s="1" t="n">
        <f aca="false">IF(OR(S29="",T29="CAUTION"),"",S29+ROW()/1000000)</f>
        <v>70.500029</v>
      </c>
      <c r="Y29" s="1" t="n">
        <f aca="false">IF(OR(S29="",T29="CAUTION"),0,S29*D29)</f>
        <v>740.25</v>
      </c>
      <c r="Z29" s="28" t="n">
        <f aca="false">IF(OR(S29="",T29="CAUTION"),0,D29)</f>
        <v>10.5</v>
      </c>
    </row>
    <row r="30" customFormat="false" ht="30" hidden="false" customHeight="true" outlineLevel="0" collapsed="false">
      <c r="A30" s="24"/>
      <c r="B30" s="24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  <c r="S30" s="8" t="str">
        <f aca="false">IF(A30="","",IF(AND(G30=0,H30=0,I30=0),"",ROUND(100*(Settings!$B$9*(Settings!$B$5*IFERROR(PERCENTRANK($G$6:$G$69,G30),0.5)+Settings!$B$6*IFERROR(PERCENTRANK($I$6:$I$69,I30),0.5)+Settings!$B$7*IFERROR(PERCENTRANK($H$6:$H$69,H30),0.5)+Settings!$B$8*IFERROR(PERCENTRANK($E$6:$E$69,E30),0.5))+Settings!$B$10*(1-IFERROR(AVERAGEIF($A$6:$A$69,B30,$P$6:$P$69)/100,0.5))),1)))</f>
        <v/>
      </c>
      <c r="T30" s="7" t="str">
        <f aca="false">IF(A30="","",IF(S30="","LOW SAMPLE",IF(OR(R30&gt;=Settings!$B$18,R30&lt;=1-Settings!$B$18,Q30&gt;=Settings!$B$19,Q30&lt;=1-Settings!$B$19),"CAUTION",IF(S30&gt;=Settings!$B$11,"HIGH",IF(S30&gt;=Settings!$B$12,"MEDIUM","LOW")))))</f>
        <v/>
      </c>
      <c r="U30" s="27" t="str">
        <f aca="false">IF(X30="","",RANK(X30,$X$6:$X$69))</f>
        <v/>
      </c>
      <c r="V30" s="9" t="str">
        <f aca="false">IF(A30="","",IF(T30="LOW SAMPLE","Not enough data — this combination has barely played together. Ignore tonight.",IF(T30="CAUTION","CAUTION: extreme CF%/xGF% split — likely a tiny sample, numbers unreliable. Left out of Top 3 and team score. ",T30&amp;" scoring chance. ")&amp;IF(F30-G30&gt;=Settings!$B$13,"Finishing above its xG — regression risk. ",IF(G30-F30&gt;=Settings!$B$13,"Creating more than it scores — due for goals. ","Goals in line with chances. "))&amp;IF(I30&gt;=LARGE($I$6:$I$69,3),"Top-3 high-danger creator on the slate. ","")&amp;"Faces "&amp;B30&amp;" (opp avg D-Score "&amp;TEXT(IFERROR(AVERAGEIF($A$6:$A$69,B30,$P$6:$P$69),0),"0")&amp;")."))</f>
        <v/>
      </c>
      <c r="W30" s="1" t="str">
        <f aca="false">IF(A30="","",IF(COUNTIF($A$6:A30,A30)=1,MAX($W$5:W29)+1,""))</f>
        <v/>
      </c>
      <c r="X30" s="1" t="str">
        <f aca="false">IF(OR(S30="",T30="CAUTION"),"",S30+ROW()/1000000)</f>
        <v/>
      </c>
      <c r="Y30" s="1" t="n">
        <f aca="false">IF(OR(S30="",T30="CAUTION"),0,S30*D30)</f>
        <v>0</v>
      </c>
      <c r="Z30" s="1" t="n">
        <f aca="false">IF(OR(S30="",T30="CAUTION"),0,D30)</f>
        <v>0</v>
      </c>
    </row>
    <row r="31" customFormat="false" ht="30" hidden="false" customHeight="true" outlineLevel="0" collapsed="false">
      <c r="A31" s="24"/>
      <c r="B31" s="24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6"/>
      <c r="S31" s="8" t="str">
        <f aca="false">IF(A31="","",IF(AND(G31=0,H31=0,I31=0),"",ROUND(100*(Settings!$B$9*(Settings!$B$5*IFERROR(PERCENTRANK($G$6:$G$69,G31),0.5)+Settings!$B$6*IFERROR(PERCENTRANK($I$6:$I$69,I31),0.5)+Settings!$B$7*IFERROR(PERCENTRANK($H$6:$H$69,H31),0.5)+Settings!$B$8*IFERROR(PERCENTRANK($E$6:$E$69,E31),0.5))+Settings!$B$10*(1-IFERROR(AVERAGEIF($A$6:$A$69,B31,$P$6:$P$69)/100,0.5))),1)))</f>
        <v/>
      </c>
      <c r="T31" s="7" t="str">
        <f aca="false">IF(A31="","",IF(S31="","LOW SAMPLE",IF(OR(R31&gt;=Settings!$B$18,R31&lt;=1-Settings!$B$18,Q31&gt;=Settings!$B$19,Q31&lt;=1-Settings!$B$19),"CAUTION",IF(S31&gt;=Settings!$B$11,"HIGH",IF(S31&gt;=Settings!$B$12,"MEDIUM","LOW")))))</f>
        <v/>
      </c>
      <c r="U31" s="27" t="str">
        <f aca="false">IF(X31="","",RANK(X31,$X$6:$X$69))</f>
        <v/>
      </c>
      <c r="V31" s="9" t="str">
        <f aca="false">IF(A31="","",IF(T31="LOW SAMPLE","Not enough data — this combination has barely played together. Ignore tonight.",IF(T31="CAUTION","CAUTION: extreme CF%/xGF% split — likely a tiny sample, numbers unreliable. Left out of Top 3 and team score. ",T31&amp;" scoring chance. ")&amp;IF(F31-G31&gt;=Settings!$B$13,"Finishing above its xG — regression risk. ",IF(G31-F31&gt;=Settings!$B$13,"Creating more than it scores — due for goals. ","Goals in line with chances. "))&amp;IF(I31&gt;=LARGE($I$6:$I$69,3),"Top-3 high-danger creator on the slate. ","")&amp;"Faces "&amp;B31&amp;" (opp avg D-Score "&amp;TEXT(IFERROR(AVERAGEIF($A$6:$A$69,B31,$P$6:$P$69),0),"0")&amp;")."))</f>
        <v/>
      </c>
      <c r="W31" s="1" t="str">
        <f aca="false">IF(A31="","",IF(COUNTIF($A$6:A31,A31)=1,MAX($W$5:W30)+1,""))</f>
        <v/>
      </c>
      <c r="X31" s="1" t="str">
        <f aca="false">IF(OR(S31="",T31="CAUTION"),"",S31+ROW()/1000000)</f>
        <v/>
      </c>
      <c r="Y31" s="1" t="n">
        <f aca="false">IF(OR(S31="",T31="CAUTION"),0,S31*D31)</f>
        <v>0</v>
      </c>
      <c r="Z31" s="1" t="n">
        <f aca="false">IF(OR(S31="",T31="CAUTION"),0,D31)</f>
        <v>0</v>
      </c>
    </row>
    <row r="32" customFormat="false" ht="30" hidden="false" customHeight="true" outlineLevel="0" collapsed="false">
      <c r="A32" s="24"/>
      <c r="B32" s="24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6"/>
      <c r="S32" s="8" t="str">
        <f aca="false">IF(A32="","",IF(AND(G32=0,H32=0,I32=0),"",ROUND(100*(Settings!$B$9*(Settings!$B$5*IFERROR(PERCENTRANK($G$6:$G$69,G32),0.5)+Settings!$B$6*IFERROR(PERCENTRANK($I$6:$I$69,I32),0.5)+Settings!$B$7*IFERROR(PERCENTRANK($H$6:$H$69,H32),0.5)+Settings!$B$8*IFERROR(PERCENTRANK($E$6:$E$69,E32),0.5))+Settings!$B$10*(1-IFERROR(AVERAGEIF($A$6:$A$69,B32,$P$6:$P$69)/100,0.5))),1)))</f>
        <v/>
      </c>
      <c r="T32" s="7" t="str">
        <f aca="false">IF(A32="","",IF(S32="","LOW SAMPLE",IF(OR(R32&gt;=Settings!$B$18,R32&lt;=1-Settings!$B$18,Q32&gt;=Settings!$B$19,Q32&lt;=1-Settings!$B$19),"CAUTION",IF(S32&gt;=Settings!$B$11,"HIGH",IF(S32&gt;=Settings!$B$12,"MEDIUM","LOW")))))</f>
        <v/>
      </c>
      <c r="U32" s="27" t="str">
        <f aca="false">IF(X32="","",RANK(X32,$X$6:$X$69))</f>
        <v/>
      </c>
      <c r="V32" s="9" t="str">
        <f aca="false">IF(A32="","",IF(T32="LOW SAMPLE","Not enough data — this combination has barely played together. Ignore tonight.",IF(T32="CAUTION","CAUTION: extreme CF%/xGF% split — likely a tiny sample, numbers unreliable. Left out of Top 3 and team score. ",T32&amp;" scoring chance. ")&amp;IF(F32-G32&gt;=Settings!$B$13,"Finishing above its xG — regression risk. ",IF(G32-F32&gt;=Settings!$B$13,"Creating more than it scores — due for goals. ","Goals in line with chances. "))&amp;IF(I32&gt;=LARGE($I$6:$I$69,3),"Top-3 high-danger creator on the slate. ","")&amp;"Faces "&amp;B32&amp;" (opp avg D-Score "&amp;TEXT(IFERROR(AVERAGEIF($A$6:$A$69,B32,$P$6:$P$69),0),"0")&amp;")."))</f>
        <v/>
      </c>
      <c r="W32" s="1" t="str">
        <f aca="false">IF(A32="","",IF(COUNTIF($A$6:A32,A32)=1,MAX($W$5:W31)+1,""))</f>
        <v/>
      </c>
      <c r="X32" s="1" t="str">
        <f aca="false">IF(OR(S32="",T32="CAUTION"),"",S32+ROW()/1000000)</f>
        <v/>
      </c>
      <c r="Y32" s="1" t="n">
        <f aca="false">IF(OR(S32="",T32="CAUTION"),0,S32*D32)</f>
        <v>0</v>
      </c>
      <c r="Z32" s="1" t="n">
        <f aca="false">IF(OR(S32="",T32="CAUTION"),0,D32)</f>
        <v>0</v>
      </c>
    </row>
    <row r="33" customFormat="false" ht="30" hidden="false" customHeight="true" outlineLevel="0" collapsed="false">
      <c r="A33" s="24"/>
      <c r="B33" s="24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6"/>
      <c r="S33" s="8" t="str">
        <f aca="false">IF(A33="","",IF(AND(G33=0,H33=0,I33=0),"",ROUND(100*(Settings!$B$9*(Settings!$B$5*IFERROR(PERCENTRANK($G$6:$G$69,G33),0.5)+Settings!$B$6*IFERROR(PERCENTRANK($I$6:$I$69,I33),0.5)+Settings!$B$7*IFERROR(PERCENTRANK($H$6:$H$69,H33),0.5)+Settings!$B$8*IFERROR(PERCENTRANK($E$6:$E$69,E33),0.5))+Settings!$B$10*(1-IFERROR(AVERAGEIF($A$6:$A$69,B33,$P$6:$P$69)/100,0.5))),1)))</f>
        <v/>
      </c>
      <c r="T33" s="7" t="str">
        <f aca="false">IF(A33="","",IF(S33="","LOW SAMPLE",IF(OR(R33&gt;=Settings!$B$18,R33&lt;=1-Settings!$B$18,Q33&gt;=Settings!$B$19,Q33&lt;=1-Settings!$B$19),"CAUTION",IF(S33&gt;=Settings!$B$11,"HIGH",IF(S33&gt;=Settings!$B$12,"MEDIUM","LOW")))))</f>
        <v/>
      </c>
      <c r="U33" s="27" t="str">
        <f aca="false">IF(X33="","",RANK(X33,$X$6:$X$69))</f>
        <v/>
      </c>
      <c r="V33" s="9" t="str">
        <f aca="false">IF(A33="","",IF(T33="LOW SAMPLE","Not enough data — this combination has barely played together. Ignore tonight.",IF(T33="CAUTION","CAUTION: extreme CF%/xGF% split — likely a tiny sample, numbers unreliable. Left out of Top 3 and team score. ",T33&amp;" scoring chance. ")&amp;IF(F33-G33&gt;=Settings!$B$13,"Finishing above its xG — regression risk. ",IF(G33-F33&gt;=Settings!$B$13,"Creating more than it scores — due for goals. ","Goals in line with chances. "))&amp;IF(I33&gt;=LARGE($I$6:$I$69,3),"Top-3 high-danger creator on the slate. ","")&amp;"Faces "&amp;B33&amp;" (opp avg D-Score "&amp;TEXT(IFERROR(AVERAGEIF($A$6:$A$69,B33,$P$6:$P$69),0),"0")&amp;")."))</f>
        <v/>
      </c>
      <c r="W33" s="1" t="str">
        <f aca="false">IF(A33="","",IF(COUNTIF($A$6:A33,A33)=1,MAX($W$5:W32)+1,""))</f>
        <v/>
      </c>
      <c r="X33" s="1" t="str">
        <f aca="false">IF(OR(S33="",T33="CAUTION"),"",S33+ROW()/1000000)</f>
        <v/>
      </c>
      <c r="Y33" s="1" t="n">
        <f aca="false">IF(OR(S33="",T33="CAUTION"),0,S33*D33)</f>
        <v>0</v>
      </c>
      <c r="Z33" s="1" t="n">
        <f aca="false">IF(OR(S33="",T33="CAUTION"),0,D33)</f>
        <v>0</v>
      </c>
    </row>
    <row r="34" customFormat="false" ht="30" hidden="false" customHeight="true" outlineLevel="0" collapsed="false">
      <c r="A34" s="24"/>
      <c r="B34" s="24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6"/>
      <c r="S34" s="8" t="str">
        <f aca="false">IF(A34="","",IF(AND(G34=0,H34=0,I34=0),"",ROUND(100*(Settings!$B$9*(Settings!$B$5*IFERROR(PERCENTRANK($G$6:$G$69,G34),0.5)+Settings!$B$6*IFERROR(PERCENTRANK($I$6:$I$69,I34),0.5)+Settings!$B$7*IFERROR(PERCENTRANK($H$6:$H$69,H34),0.5)+Settings!$B$8*IFERROR(PERCENTRANK($E$6:$E$69,E34),0.5))+Settings!$B$10*(1-IFERROR(AVERAGEIF($A$6:$A$69,B34,$P$6:$P$69)/100,0.5))),1)))</f>
        <v/>
      </c>
      <c r="T34" s="7" t="str">
        <f aca="false">IF(A34="","",IF(S34="","LOW SAMPLE",IF(OR(R34&gt;=Settings!$B$18,R34&lt;=1-Settings!$B$18,Q34&gt;=Settings!$B$19,Q34&lt;=1-Settings!$B$19),"CAUTION",IF(S34&gt;=Settings!$B$11,"HIGH",IF(S34&gt;=Settings!$B$12,"MEDIUM","LOW")))))</f>
        <v/>
      </c>
      <c r="U34" s="27" t="str">
        <f aca="false">IF(X34="","",RANK(X34,$X$6:$X$69))</f>
        <v/>
      </c>
      <c r="V34" s="9" t="str">
        <f aca="false">IF(A34="","",IF(T34="LOW SAMPLE","Not enough data — this combination has barely played together. Ignore tonight.",IF(T34="CAUTION","CAUTION: extreme CF%/xGF% split — likely a tiny sample, numbers unreliable. Left out of Top 3 and team score. ",T34&amp;" scoring chance. ")&amp;IF(F34-G34&gt;=Settings!$B$13,"Finishing above its xG — regression risk. ",IF(G34-F34&gt;=Settings!$B$13,"Creating more than it scores — due for goals. ","Goals in line with chances. "))&amp;IF(I34&gt;=LARGE($I$6:$I$69,3),"Top-3 high-danger creator on the slate. ","")&amp;"Faces "&amp;B34&amp;" (opp avg D-Score "&amp;TEXT(IFERROR(AVERAGEIF($A$6:$A$69,B34,$P$6:$P$69),0),"0")&amp;")."))</f>
        <v/>
      </c>
      <c r="W34" s="1" t="str">
        <f aca="false">IF(A34="","",IF(COUNTIF($A$6:A34,A34)=1,MAX($W$5:W33)+1,""))</f>
        <v/>
      </c>
      <c r="X34" s="1" t="str">
        <f aca="false">IF(OR(S34="",T34="CAUTION"),"",S34+ROW()/1000000)</f>
        <v/>
      </c>
      <c r="Y34" s="1" t="n">
        <f aca="false">IF(OR(S34="",T34="CAUTION"),0,S34*D34)</f>
        <v>0</v>
      </c>
      <c r="Z34" s="1" t="n">
        <f aca="false">IF(OR(S34="",T34="CAUTION"),0,D34)</f>
        <v>0</v>
      </c>
    </row>
    <row r="35" customFormat="false" ht="30" hidden="false" customHeight="true" outlineLevel="0" collapsed="false">
      <c r="A35" s="24"/>
      <c r="B35" s="24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6"/>
      <c r="S35" s="8" t="str">
        <f aca="false">IF(A35="","",IF(AND(G35=0,H35=0,I35=0),"",ROUND(100*(Settings!$B$9*(Settings!$B$5*IFERROR(PERCENTRANK($G$6:$G$69,G35),0.5)+Settings!$B$6*IFERROR(PERCENTRANK($I$6:$I$69,I35),0.5)+Settings!$B$7*IFERROR(PERCENTRANK($H$6:$H$69,H35),0.5)+Settings!$B$8*IFERROR(PERCENTRANK($E$6:$E$69,E35),0.5))+Settings!$B$10*(1-IFERROR(AVERAGEIF($A$6:$A$69,B35,$P$6:$P$69)/100,0.5))),1)))</f>
        <v/>
      </c>
      <c r="T35" s="7" t="str">
        <f aca="false">IF(A35="","",IF(S35="","LOW SAMPLE",IF(OR(R35&gt;=Settings!$B$18,R35&lt;=1-Settings!$B$18,Q35&gt;=Settings!$B$19,Q35&lt;=1-Settings!$B$19),"CAUTION",IF(S35&gt;=Settings!$B$11,"HIGH",IF(S35&gt;=Settings!$B$12,"MEDIUM","LOW")))))</f>
        <v/>
      </c>
      <c r="U35" s="27" t="str">
        <f aca="false">IF(X35="","",RANK(X35,$X$6:$X$69))</f>
        <v/>
      </c>
      <c r="V35" s="9" t="str">
        <f aca="false">IF(A35="","",IF(T35="LOW SAMPLE","Not enough data — this combination has barely played together. Ignore tonight.",IF(T35="CAUTION","CAUTION: extreme CF%/xGF% split — likely a tiny sample, numbers unreliable. Left out of Top 3 and team score. ",T35&amp;" scoring chance. ")&amp;IF(F35-G35&gt;=Settings!$B$13,"Finishing above its xG — regression risk. ",IF(G35-F35&gt;=Settings!$B$13,"Creating more than it scores — due for goals. ","Goals in line with chances. "))&amp;IF(I35&gt;=LARGE($I$6:$I$69,3),"Top-3 high-danger creator on the slate. ","")&amp;"Faces "&amp;B35&amp;" (opp avg D-Score "&amp;TEXT(IFERROR(AVERAGEIF($A$6:$A$69,B35,$P$6:$P$69),0),"0")&amp;")."))</f>
        <v/>
      </c>
      <c r="W35" s="1" t="str">
        <f aca="false">IF(A35="","",IF(COUNTIF($A$6:A35,A35)=1,MAX($W$5:W34)+1,""))</f>
        <v/>
      </c>
      <c r="X35" s="1" t="str">
        <f aca="false">IF(OR(S35="",T35="CAUTION"),"",S35+ROW()/1000000)</f>
        <v/>
      </c>
      <c r="Y35" s="1" t="n">
        <f aca="false">IF(OR(S35="",T35="CAUTION"),0,S35*D35)</f>
        <v>0</v>
      </c>
      <c r="Z35" s="1" t="n">
        <f aca="false">IF(OR(S35="",T35="CAUTION"),0,D35)</f>
        <v>0</v>
      </c>
    </row>
    <row r="36" customFormat="false" ht="30" hidden="false" customHeight="true" outlineLevel="0" collapsed="false">
      <c r="A36" s="24"/>
      <c r="B36" s="24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6"/>
      <c r="S36" s="8" t="str">
        <f aca="false">IF(A36="","",IF(AND(G36=0,H36=0,I36=0),"",ROUND(100*(Settings!$B$9*(Settings!$B$5*IFERROR(PERCENTRANK($G$6:$G$69,G36),0.5)+Settings!$B$6*IFERROR(PERCENTRANK($I$6:$I$69,I36),0.5)+Settings!$B$7*IFERROR(PERCENTRANK($H$6:$H$69,H36),0.5)+Settings!$B$8*IFERROR(PERCENTRANK($E$6:$E$69,E36),0.5))+Settings!$B$10*(1-IFERROR(AVERAGEIF($A$6:$A$69,B36,$P$6:$P$69)/100,0.5))),1)))</f>
        <v/>
      </c>
      <c r="T36" s="7" t="str">
        <f aca="false">IF(A36="","",IF(S36="","LOW SAMPLE",IF(OR(R36&gt;=Settings!$B$18,R36&lt;=1-Settings!$B$18,Q36&gt;=Settings!$B$19,Q36&lt;=1-Settings!$B$19),"CAUTION",IF(S36&gt;=Settings!$B$11,"HIGH",IF(S36&gt;=Settings!$B$12,"MEDIUM","LOW")))))</f>
        <v/>
      </c>
      <c r="U36" s="27" t="str">
        <f aca="false">IF(X36="","",RANK(X36,$X$6:$X$69))</f>
        <v/>
      </c>
      <c r="V36" s="9" t="str">
        <f aca="false">IF(A36="","",IF(T36="LOW SAMPLE","Not enough data — this combination has barely played together. Ignore tonight.",IF(T36="CAUTION","CAUTION: extreme CF%/xGF% split — likely a tiny sample, numbers unreliable. Left out of Top 3 and team score. ",T36&amp;" scoring chance. ")&amp;IF(F36-G36&gt;=Settings!$B$13,"Finishing above its xG — regression risk. ",IF(G36-F36&gt;=Settings!$B$13,"Creating more than it scores — due for goals. ","Goals in line with chances. "))&amp;IF(I36&gt;=LARGE($I$6:$I$69,3),"Top-3 high-danger creator on the slate. ","")&amp;"Faces "&amp;B36&amp;" (opp avg D-Score "&amp;TEXT(IFERROR(AVERAGEIF($A$6:$A$69,B36,$P$6:$P$69),0),"0")&amp;")."))</f>
        <v/>
      </c>
      <c r="W36" s="1" t="str">
        <f aca="false">IF(A36="","",IF(COUNTIF($A$6:A36,A36)=1,MAX($W$5:W35)+1,""))</f>
        <v/>
      </c>
      <c r="X36" s="1" t="str">
        <f aca="false">IF(OR(S36="",T36="CAUTION"),"",S36+ROW()/1000000)</f>
        <v/>
      </c>
      <c r="Y36" s="1" t="n">
        <f aca="false">IF(OR(S36="",T36="CAUTION"),0,S36*D36)</f>
        <v>0</v>
      </c>
      <c r="Z36" s="1" t="n">
        <f aca="false">IF(OR(S36="",T36="CAUTION"),0,D36)</f>
        <v>0</v>
      </c>
    </row>
    <row r="37" customFormat="false" ht="30" hidden="false" customHeight="true" outlineLevel="0" collapsed="false">
      <c r="A37" s="24"/>
      <c r="B37" s="24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6"/>
      <c r="S37" s="8" t="str">
        <f aca="false">IF(A37="","",IF(AND(G37=0,H37=0,I37=0),"",ROUND(100*(Settings!$B$9*(Settings!$B$5*IFERROR(PERCENTRANK($G$6:$G$69,G37),0.5)+Settings!$B$6*IFERROR(PERCENTRANK($I$6:$I$69,I37),0.5)+Settings!$B$7*IFERROR(PERCENTRANK($H$6:$H$69,H37),0.5)+Settings!$B$8*IFERROR(PERCENTRANK($E$6:$E$69,E37),0.5))+Settings!$B$10*(1-IFERROR(AVERAGEIF($A$6:$A$69,B37,$P$6:$P$69)/100,0.5))),1)))</f>
        <v/>
      </c>
      <c r="T37" s="7" t="str">
        <f aca="false">IF(A37="","",IF(S37="","LOW SAMPLE",IF(OR(R37&gt;=Settings!$B$18,R37&lt;=1-Settings!$B$18,Q37&gt;=Settings!$B$19,Q37&lt;=1-Settings!$B$19),"CAUTION",IF(S37&gt;=Settings!$B$11,"HIGH",IF(S37&gt;=Settings!$B$12,"MEDIUM","LOW")))))</f>
        <v/>
      </c>
      <c r="U37" s="27" t="str">
        <f aca="false">IF(X37="","",RANK(X37,$X$6:$X$69))</f>
        <v/>
      </c>
      <c r="V37" s="9" t="str">
        <f aca="false">IF(A37="","",IF(T37="LOW SAMPLE","Not enough data — this combination has barely played together. Ignore tonight.",IF(T37="CAUTION","CAUTION: extreme CF%/xGF% split — likely a tiny sample, numbers unreliable. Left out of Top 3 and team score. ",T37&amp;" scoring chance. ")&amp;IF(F37-G37&gt;=Settings!$B$13,"Finishing above its xG — regression risk. ",IF(G37-F37&gt;=Settings!$B$13,"Creating more than it scores — due for goals. ","Goals in line with chances. "))&amp;IF(I37&gt;=LARGE($I$6:$I$69,3),"Top-3 high-danger creator on the slate. ","")&amp;"Faces "&amp;B37&amp;" (opp avg D-Score "&amp;TEXT(IFERROR(AVERAGEIF($A$6:$A$69,B37,$P$6:$P$69),0),"0")&amp;")."))</f>
        <v/>
      </c>
      <c r="W37" s="1" t="str">
        <f aca="false">IF(A37="","",IF(COUNTIF($A$6:A37,A37)=1,MAX($W$5:W36)+1,""))</f>
        <v/>
      </c>
      <c r="X37" s="1" t="str">
        <f aca="false">IF(OR(S37="",T37="CAUTION"),"",S37+ROW()/1000000)</f>
        <v/>
      </c>
      <c r="Y37" s="1" t="n">
        <f aca="false">IF(OR(S37="",T37="CAUTION"),0,S37*D37)</f>
        <v>0</v>
      </c>
      <c r="Z37" s="1" t="n">
        <f aca="false">IF(OR(S37="",T37="CAUTION"),0,D37)</f>
        <v>0</v>
      </c>
    </row>
    <row r="38" customFormat="false" ht="30" hidden="false" customHeight="true" outlineLevel="0" collapsed="false">
      <c r="A38" s="24"/>
      <c r="B38" s="24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6"/>
      <c r="S38" s="8" t="str">
        <f aca="false">IF(A38="","",IF(AND(G38=0,H38=0,I38=0),"",ROUND(100*(Settings!$B$9*(Settings!$B$5*IFERROR(PERCENTRANK($G$6:$G$69,G38),0.5)+Settings!$B$6*IFERROR(PERCENTRANK($I$6:$I$69,I38),0.5)+Settings!$B$7*IFERROR(PERCENTRANK($H$6:$H$69,H38),0.5)+Settings!$B$8*IFERROR(PERCENTRANK($E$6:$E$69,E38),0.5))+Settings!$B$10*(1-IFERROR(AVERAGEIF($A$6:$A$69,B38,$P$6:$P$69)/100,0.5))),1)))</f>
        <v/>
      </c>
      <c r="T38" s="7" t="str">
        <f aca="false">IF(A38="","",IF(S38="","LOW SAMPLE",IF(OR(R38&gt;=Settings!$B$18,R38&lt;=1-Settings!$B$18,Q38&gt;=Settings!$B$19,Q38&lt;=1-Settings!$B$19),"CAUTION",IF(S38&gt;=Settings!$B$11,"HIGH",IF(S38&gt;=Settings!$B$12,"MEDIUM","LOW")))))</f>
        <v/>
      </c>
      <c r="U38" s="27" t="str">
        <f aca="false">IF(X38="","",RANK(X38,$X$6:$X$69))</f>
        <v/>
      </c>
      <c r="V38" s="9" t="str">
        <f aca="false">IF(A38="","",IF(T38="LOW SAMPLE","Not enough data — this combination has barely played together. Ignore tonight.",IF(T38="CAUTION","CAUTION: extreme CF%/xGF% split — likely a tiny sample, numbers unreliable. Left out of Top 3 and team score. ",T38&amp;" scoring chance. ")&amp;IF(F38-G38&gt;=Settings!$B$13,"Finishing above its xG — regression risk. ",IF(G38-F38&gt;=Settings!$B$13,"Creating more than it scores — due for goals. ","Goals in line with chances. "))&amp;IF(I38&gt;=LARGE($I$6:$I$69,3),"Top-3 high-danger creator on the slate. ","")&amp;"Faces "&amp;B38&amp;" (opp avg D-Score "&amp;TEXT(IFERROR(AVERAGEIF($A$6:$A$69,B38,$P$6:$P$69),0),"0")&amp;")."))</f>
        <v/>
      </c>
      <c r="W38" s="1" t="str">
        <f aca="false">IF(A38="","",IF(COUNTIF($A$6:A38,A38)=1,MAX($W$5:W37)+1,""))</f>
        <v/>
      </c>
      <c r="X38" s="1" t="str">
        <f aca="false">IF(OR(S38="",T38="CAUTION"),"",S38+ROW()/1000000)</f>
        <v/>
      </c>
      <c r="Y38" s="1" t="n">
        <f aca="false">IF(OR(S38="",T38="CAUTION"),0,S38*D38)</f>
        <v>0</v>
      </c>
      <c r="Z38" s="1" t="n">
        <f aca="false">IF(OR(S38="",T38="CAUTION"),0,D38)</f>
        <v>0</v>
      </c>
    </row>
    <row r="39" customFormat="false" ht="30" hidden="false" customHeight="true" outlineLevel="0" collapsed="false">
      <c r="A39" s="24"/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6"/>
      <c r="S39" s="8" t="str">
        <f aca="false">IF(A39="","",IF(AND(G39=0,H39=0,I39=0),"",ROUND(100*(Settings!$B$9*(Settings!$B$5*IFERROR(PERCENTRANK($G$6:$G$69,G39),0.5)+Settings!$B$6*IFERROR(PERCENTRANK($I$6:$I$69,I39),0.5)+Settings!$B$7*IFERROR(PERCENTRANK($H$6:$H$69,H39),0.5)+Settings!$B$8*IFERROR(PERCENTRANK($E$6:$E$69,E39),0.5))+Settings!$B$10*(1-IFERROR(AVERAGEIF($A$6:$A$69,B39,$P$6:$P$69)/100,0.5))),1)))</f>
        <v/>
      </c>
      <c r="T39" s="7" t="str">
        <f aca="false">IF(A39="","",IF(S39="","LOW SAMPLE",IF(OR(R39&gt;=Settings!$B$18,R39&lt;=1-Settings!$B$18,Q39&gt;=Settings!$B$19,Q39&lt;=1-Settings!$B$19),"CAUTION",IF(S39&gt;=Settings!$B$11,"HIGH",IF(S39&gt;=Settings!$B$12,"MEDIUM","LOW")))))</f>
        <v/>
      </c>
      <c r="U39" s="27" t="str">
        <f aca="false">IF(X39="","",RANK(X39,$X$6:$X$69))</f>
        <v/>
      </c>
      <c r="V39" s="9" t="str">
        <f aca="false">IF(A39="","",IF(T39="LOW SAMPLE","Not enough data — this combination has barely played together. Ignore tonight.",IF(T39="CAUTION","CAUTION: extreme CF%/xGF% split — likely a tiny sample, numbers unreliable. Left out of Top 3 and team score. ",T39&amp;" scoring chance. ")&amp;IF(F39-G39&gt;=Settings!$B$13,"Finishing above its xG — regression risk. ",IF(G39-F39&gt;=Settings!$B$13,"Creating more than it scores — due for goals. ","Goals in line with chances. "))&amp;IF(I39&gt;=LARGE($I$6:$I$69,3),"Top-3 high-danger creator on the slate. ","")&amp;"Faces "&amp;B39&amp;" (opp avg D-Score "&amp;TEXT(IFERROR(AVERAGEIF($A$6:$A$69,B39,$P$6:$P$69),0),"0")&amp;")."))</f>
        <v/>
      </c>
      <c r="W39" s="1" t="str">
        <f aca="false">IF(A39="","",IF(COUNTIF($A$6:A39,A39)=1,MAX($W$5:W38)+1,""))</f>
        <v/>
      </c>
      <c r="X39" s="1" t="str">
        <f aca="false">IF(OR(S39="",T39="CAUTION"),"",S39+ROW()/1000000)</f>
        <v/>
      </c>
      <c r="Y39" s="1" t="n">
        <f aca="false">IF(OR(S39="",T39="CAUTION"),0,S39*D39)</f>
        <v>0</v>
      </c>
      <c r="Z39" s="1" t="n">
        <f aca="false">IF(OR(S39="",T39="CAUTION"),0,D39)</f>
        <v>0</v>
      </c>
    </row>
    <row r="40" customFormat="false" ht="30" hidden="false" customHeight="true" outlineLevel="0" collapsed="false">
      <c r="A40" s="24"/>
      <c r="B40" s="24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6"/>
      <c r="S40" s="8" t="str">
        <f aca="false">IF(A40="","",IF(AND(G40=0,H40=0,I40=0),"",ROUND(100*(Settings!$B$9*(Settings!$B$5*IFERROR(PERCENTRANK($G$6:$G$69,G40),0.5)+Settings!$B$6*IFERROR(PERCENTRANK($I$6:$I$69,I40),0.5)+Settings!$B$7*IFERROR(PERCENTRANK($H$6:$H$69,H40),0.5)+Settings!$B$8*IFERROR(PERCENTRANK($E$6:$E$69,E40),0.5))+Settings!$B$10*(1-IFERROR(AVERAGEIF($A$6:$A$69,B40,$P$6:$P$69)/100,0.5))),1)))</f>
        <v/>
      </c>
      <c r="T40" s="7" t="str">
        <f aca="false">IF(A40="","",IF(S40="","LOW SAMPLE",IF(OR(R40&gt;=Settings!$B$18,R40&lt;=1-Settings!$B$18,Q40&gt;=Settings!$B$19,Q40&lt;=1-Settings!$B$19),"CAUTION",IF(S40&gt;=Settings!$B$11,"HIGH",IF(S40&gt;=Settings!$B$12,"MEDIUM","LOW")))))</f>
        <v/>
      </c>
      <c r="U40" s="27" t="str">
        <f aca="false">IF(X40="","",RANK(X40,$X$6:$X$69))</f>
        <v/>
      </c>
      <c r="V40" s="9" t="str">
        <f aca="false">IF(A40="","",IF(T40="LOW SAMPLE","Not enough data — this combination has barely played together. Ignore tonight.",IF(T40="CAUTION","CAUTION: extreme CF%/xGF% split — likely a tiny sample, numbers unreliable. Left out of Top 3 and team score. ",T40&amp;" scoring chance. ")&amp;IF(F40-G40&gt;=Settings!$B$13,"Finishing above its xG — regression risk. ",IF(G40-F40&gt;=Settings!$B$13,"Creating more than it scores — due for goals. ","Goals in line with chances. "))&amp;IF(I40&gt;=LARGE($I$6:$I$69,3),"Top-3 high-danger creator on the slate. ","")&amp;"Faces "&amp;B40&amp;" (opp avg D-Score "&amp;TEXT(IFERROR(AVERAGEIF($A$6:$A$69,B40,$P$6:$P$69),0),"0")&amp;")."))</f>
        <v/>
      </c>
      <c r="W40" s="1" t="str">
        <f aca="false">IF(A40="","",IF(COUNTIF($A$6:A40,A40)=1,MAX($W$5:W39)+1,""))</f>
        <v/>
      </c>
      <c r="X40" s="1" t="str">
        <f aca="false">IF(OR(S40="",T40="CAUTION"),"",S40+ROW()/1000000)</f>
        <v/>
      </c>
      <c r="Y40" s="1" t="n">
        <f aca="false">IF(OR(S40="",T40="CAUTION"),0,S40*D40)</f>
        <v>0</v>
      </c>
      <c r="Z40" s="1" t="n">
        <f aca="false">IF(OR(S40="",T40="CAUTION"),0,D40)</f>
        <v>0</v>
      </c>
    </row>
    <row r="41" customFormat="false" ht="30" hidden="false" customHeight="true" outlineLevel="0" collapsed="false">
      <c r="A41" s="24"/>
      <c r="B41" s="24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6"/>
      <c r="S41" s="8" t="str">
        <f aca="false">IF(A41="","",IF(AND(G41=0,H41=0,I41=0),"",ROUND(100*(Settings!$B$9*(Settings!$B$5*IFERROR(PERCENTRANK($G$6:$G$69,G41),0.5)+Settings!$B$6*IFERROR(PERCENTRANK($I$6:$I$69,I41),0.5)+Settings!$B$7*IFERROR(PERCENTRANK($H$6:$H$69,H41),0.5)+Settings!$B$8*IFERROR(PERCENTRANK($E$6:$E$69,E41),0.5))+Settings!$B$10*(1-IFERROR(AVERAGEIF($A$6:$A$69,B41,$P$6:$P$69)/100,0.5))),1)))</f>
        <v/>
      </c>
      <c r="T41" s="7" t="str">
        <f aca="false">IF(A41="","",IF(S41="","LOW SAMPLE",IF(OR(R41&gt;=Settings!$B$18,R41&lt;=1-Settings!$B$18,Q41&gt;=Settings!$B$19,Q41&lt;=1-Settings!$B$19),"CAUTION",IF(S41&gt;=Settings!$B$11,"HIGH",IF(S41&gt;=Settings!$B$12,"MEDIUM","LOW")))))</f>
        <v/>
      </c>
      <c r="U41" s="27" t="str">
        <f aca="false">IF(X41="","",RANK(X41,$X$6:$X$69))</f>
        <v/>
      </c>
      <c r="V41" s="9" t="str">
        <f aca="false">IF(A41="","",IF(T41="LOW SAMPLE","Not enough data — this combination has barely played together. Ignore tonight.",IF(T41="CAUTION","CAUTION: extreme CF%/xGF% split — likely a tiny sample, numbers unreliable. Left out of Top 3 and team score. ",T41&amp;" scoring chance. ")&amp;IF(F41-G41&gt;=Settings!$B$13,"Finishing above its xG — regression risk. ",IF(G41-F41&gt;=Settings!$B$13,"Creating more than it scores — due for goals. ","Goals in line with chances. "))&amp;IF(I41&gt;=LARGE($I$6:$I$69,3),"Top-3 high-danger creator on the slate. ","")&amp;"Faces "&amp;B41&amp;" (opp avg D-Score "&amp;TEXT(IFERROR(AVERAGEIF($A$6:$A$69,B41,$P$6:$P$69),0),"0")&amp;")."))</f>
        <v/>
      </c>
      <c r="W41" s="1" t="str">
        <f aca="false">IF(A41="","",IF(COUNTIF($A$6:A41,A41)=1,MAX($W$5:W40)+1,""))</f>
        <v/>
      </c>
      <c r="X41" s="1" t="str">
        <f aca="false">IF(OR(S41="",T41="CAUTION"),"",S41+ROW()/1000000)</f>
        <v/>
      </c>
      <c r="Y41" s="1" t="n">
        <f aca="false">IF(OR(S41="",T41="CAUTION"),0,S41*D41)</f>
        <v>0</v>
      </c>
      <c r="Z41" s="1" t="n">
        <f aca="false">IF(OR(S41="",T41="CAUTION"),0,D41)</f>
        <v>0</v>
      </c>
    </row>
    <row r="42" customFormat="false" ht="30" hidden="false" customHeight="true" outlineLevel="0" collapsed="false">
      <c r="A42" s="24"/>
      <c r="B42" s="24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6"/>
      <c r="S42" s="8" t="str">
        <f aca="false">IF(A42="","",IF(AND(G42=0,H42=0,I42=0),"",ROUND(100*(Settings!$B$9*(Settings!$B$5*IFERROR(PERCENTRANK($G$6:$G$69,G42),0.5)+Settings!$B$6*IFERROR(PERCENTRANK($I$6:$I$69,I42),0.5)+Settings!$B$7*IFERROR(PERCENTRANK($H$6:$H$69,H42),0.5)+Settings!$B$8*IFERROR(PERCENTRANK($E$6:$E$69,E42),0.5))+Settings!$B$10*(1-IFERROR(AVERAGEIF($A$6:$A$69,B42,$P$6:$P$69)/100,0.5))),1)))</f>
        <v/>
      </c>
      <c r="T42" s="7" t="str">
        <f aca="false">IF(A42="","",IF(S42="","LOW SAMPLE",IF(OR(R42&gt;=Settings!$B$18,R42&lt;=1-Settings!$B$18,Q42&gt;=Settings!$B$19,Q42&lt;=1-Settings!$B$19),"CAUTION",IF(S42&gt;=Settings!$B$11,"HIGH",IF(S42&gt;=Settings!$B$12,"MEDIUM","LOW")))))</f>
        <v/>
      </c>
      <c r="U42" s="27" t="str">
        <f aca="false">IF(X42="","",RANK(X42,$X$6:$X$69))</f>
        <v/>
      </c>
      <c r="V42" s="9" t="str">
        <f aca="false">IF(A42="","",IF(T42="LOW SAMPLE","Not enough data — this combination has barely played together. Ignore tonight.",IF(T42="CAUTION","CAUTION: extreme CF%/xGF% split — likely a tiny sample, numbers unreliable. Left out of Top 3 and team score. ",T42&amp;" scoring chance. ")&amp;IF(F42-G42&gt;=Settings!$B$13,"Finishing above its xG — regression risk. ",IF(G42-F42&gt;=Settings!$B$13,"Creating more than it scores — due for goals. ","Goals in line with chances. "))&amp;IF(I42&gt;=LARGE($I$6:$I$69,3),"Top-3 high-danger creator on the slate. ","")&amp;"Faces "&amp;B42&amp;" (opp avg D-Score "&amp;TEXT(IFERROR(AVERAGEIF($A$6:$A$69,B42,$P$6:$P$69),0),"0")&amp;")."))</f>
        <v/>
      </c>
      <c r="W42" s="1" t="str">
        <f aca="false">IF(A42="","",IF(COUNTIF($A$6:A42,A42)=1,MAX($W$5:W41)+1,""))</f>
        <v/>
      </c>
      <c r="X42" s="1" t="str">
        <f aca="false">IF(OR(S42="",T42="CAUTION"),"",S42+ROW()/1000000)</f>
        <v/>
      </c>
      <c r="Y42" s="1" t="n">
        <f aca="false">IF(OR(S42="",T42="CAUTION"),0,S42*D42)</f>
        <v>0</v>
      </c>
      <c r="Z42" s="1" t="n">
        <f aca="false">IF(OR(S42="",T42="CAUTION"),0,D42)</f>
        <v>0</v>
      </c>
    </row>
    <row r="43" customFormat="false" ht="30" hidden="false" customHeight="true" outlineLevel="0" collapsed="false">
      <c r="A43" s="24"/>
      <c r="B43" s="24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6"/>
      <c r="S43" s="8" t="str">
        <f aca="false">IF(A43="","",IF(AND(G43=0,H43=0,I43=0),"",ROUND(100*(Settings!$B$9*(Settings!$B$5*IFERROR(PERCENTRANK($G$6:$G$69,G43),0.5)+Settings!$B$6*IFERROR(PERCENTRANK($I$6:$I$69,I43),0.5)+Settings!$B$7*IFERROR(PERCENTRANK($H$6:$H$69,H43),0.5)+Settings!$B$8*IFERROR(PERCENTRANK($E$6:$E$69,E43),0.5))+Settings!$B$10*(1-IFERROR(AVERAGEIF($A$6:$A$69,B43,$P$6:$P$69)/100,0.5))),1)))</f>
        <v/>
      </c>
      <c r="T43" s="7" t="str">
        <f aca="false">IF(A43="","",IF(S43="","LOW SAMPLE",IF(OR(R43&gt;=Settings!$B$18,R43&lt;=1-Settings!$B$18,Q43&gt;=Settings!$B$19,Q43&lt;=1-Settings!$B$19),"CAUTION",IF(S43&gt;=Settings!$B$11,"HIGH",IF(S43&gt;=Settings!$B$12,"MEDIUM","LOW")))))</f>
        <v/>
      </c>
      <c r="U43" s="27" t="str">
        <f aca="false">IF(X43="","",RANK(X43,$X$6:$X$69))</f>
        <v/>
      </c>
      <c r="V43" s="9" t="str">
        <f aca="false">IF(A43="","",IF(T43="LOW SAMPLE","Not enough data — this combination has barely played together. Ignore tonight.",IF(T43="CAUTION","CAUTION: extreme CF%/xGF% split — likely a tiny sample, numbers unreliable. Left out of Top 3 and team score. ",T43&amp;" scoring chance. ")&amp;IF(F43-G43&gt;=Settings!$B$13,"Finishing above its xG — regression risk. ",IF(G43-F43&gt;=Settings!$B$13,"Creating more than it scores — due for goals. ","Goals in line with chances. "))&amp;IF(I43&gt;=LARGE($I$6:$I$69,3),"Top-3 high-danger creator on the slate. ","")&amp;"Faces "&amp;B43&amp;" (opp avg D-Score "&amp;TEXT(IFERROR(AVERAGEIF($A$6:$A$69,B43,$P$6:$P$69),0),"0")&amp;")."))</f>
        <v/>
      </c>
      <c r="W43" s="1" t="str">
        <f aca="false">IF(A43="","",IF(COUNTIF($A$6:A43,A43)=1,MAX($W$5:W42)+1,""))</f>
        <v/>
      </c>
      <c r="X43" s="1" t="str">
        <f aca="false">IF(OR(S43="",T43="CAUTION"),"",S43+ROW()/1000000)</f>
        <v/>
      </c>
      <c r="Y43" s="1" t="n">
        <f aca="false">IF(OR(S43="",T43="CAUTION"),0,S43*D43)</f>
        <v>0</v>
      </c>
      <c r="Z43" s="1" t="n">
        <f aca="false">IF(OR(S43="",T43="CAUTION"),0,D43)</f>
        <v>0</v>
      </c>
    </row>
    <row r="44" customFormat="false" ht="30" hidden="false" customHeight="true" outlineLevel="0" collapsed="false">
      <c r="A44" s="24"/>
      <c r="B44" s="24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6"/>
      <c r="S44" s="8" t="str">
        <f aca="false">IF(A44="","",IF(AND(G44=0,H44=0,I44=0),"",ROUND(100*(Settings!$B$9*(Settings!$B$5*IFERROR(PERCENTRANK($G$6:$G$69,G44),0.5)+Settings!$B$6*IFERROR(PERCENTRANK($I$6:$I$69,I44),0.5)+Settings!$B$7*IFERROR(PERCENTRANK($H$6:$H$69,H44),0.5)+Settings!$B$8*IFERROR(PERCENTRANK($E$6:$E$69,E44),0.5))+Settings!$B$10*(1-IFERROR(AVERAGEIF($A$6:$A$69,B44,$P$6:$P$69)/100,0.5))),1)))</f>
        <v/>
      </c>
      <c r="T44" s="7" t="str">
        <f aca="false">IF(A44="","",IF(S44="","LOW SAMPLE",IF(OR(R44&gt;=Settings!$B$18,R44&lt;=1-Settings!$B$18,Q44&gt;=Settings!$B$19,Q44&lt;=1-Settings!$B$19),"CAUTION",IF(S44&gt;=Settings!$B$11,"HIGH",IF(S44&gt;=Settings!$B$12,"MEDIUM","LOW")))))</f>
        <v/>
      </c>
      <c r="U44" s="27" t="str">
        <f aca="false">IF(X44="","",RANK(X44,$X$6:$X$69))</f>
        <v/>
      </c>
      <c r="V44" s="9" t="str">
        <f aca="false">IF(A44="","",IF(T44="LOW SAMPLE","Not enough data — this combination has barely played together. Ignore tonight.",IF(T44="CAUTION","CAUTION: extreme CF%/xGF% split — likely a tiny sample, numbers unreliable. Left out of Top 3 and team score. ",T44&amp;" scoring chance. ")&amp;IF(F44-G44&gt;=Settings!$B$13,"Finishing above its xG — regression risk. ",IF(G44-F44&gt;=Settings!$B$13,"Creating more than it scores — due for goals. ","Goals in line with chances. "))&amp;IF(I44&gt;=LARGE($I$6:$I$69,3),"Top-3 high-danger creator on the slate. ","")&amp;"Faces "&amp;B44&amp;" (opp avg D-Score "&amp;TEXT(IFERROR(AVERAGEIF($A$6:$A$69,B44,$P$6:$P$69),0),"0")&amp;")."))</f>
        <v/>
      </c>
      <c r="W44" s="1" t="str">
        <f aca="false">IF(A44="","",IF(COUNTIF($A$6:A44,A44)=1,MAX($W$5:W43)+1,""))</f>
        <v/>
      </c>
      <c r="X44" s="1" t="str">
        <f aca="false">IF(OR(S44="",T44="CAUTION"),"",S44+ROW()/1000000)</f>
        <v/>
      </c>
      <c r="Y44" s="1" t="n">
        <f aca="false">IF(OR(S44="",T44="CAUTION"),0,S44*D44)</f>
        <v>0</v>
      </c>
      <c r="Z44" s="1" t="n">
        <f aca="false">IF(OR(S44="",T44="CAUTION"),0,D44)</f>
        <v>0</v>
      </c>
    </row>
    <row r="45" customFormat="false" ht="30" hidden="false" customHeight="true" outlineLevel="0" collapsed="false">
      <c r="A45" s="24"/>
      <c r="B45" s="24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6"/>
      <c r="S45" s="8" t="str">
        <f aca="false">IF(A45="","",IF(AND(G45=0,H45=0,I45=0),"",ROUND(100*(Settings!$B$9*(Settings!$B$5*IFERROR(PERCENTRANK($G$6:$G$69,G45),0.5)+Settings!$B$6*IFERROR(PERCENTRANK($I$6:$I$69,I45),0.5)+Settings!$B$7*IFERROR(PERCENTRANK($H$6:$H$69,H45),0.5)+Settings!$B$8*IFERROR(PERCENTRANK($E$6:$E$69,E45),0.5))+Settings!$B$10*(1-IFERROR(AVERAGEIF($A$6:$A$69,B45,$P$6:$P$69)/100,0.5))),1)))</f>
        <v/>
      </c>
      <c r="T45" s="7" t="str">
        <f aca="false">IF(A45="","",IF(S45="","LOW SAMPLE",IF(OR(R45&gt;=Settings!$B$18,R45&lt;=1-Settings!$B$18,Q45&gt;=Settings!$B$19,Q45&lt;=1-Settings!$B$19),"CAUTION",IF(S45&gt;=Settings!$B$11,"HIGH",IF(S45&gt;=Settings!$B$12,"MEDIUM","LOW")))))</f>
        <v/>
      </c>
      <c r="U45" s="27" t="str">
        <f aca="false">IF(X45="","",RANK(X45,$X$6:$X$69))</f>
        <v/>
      </c>
      <c r="V45" s="9" t="str">
        <f aca="false">IF(A45="","",IF(T45="LOW SAMPLE","Not enough data — this combination has barely played together. Ignore tonight.",IF(T45="CAUTION","CAUTION: extreme CF%/xGF% split — likely a tiny sample, numbers unreliable. Left out of Top 3 and team score. ",T45&amp;" scoring chance. ")&amp;IF(F45-G45&gt;=Settings!$B$13,"Finishing above its xG — regression risk. ",IF(G45-F45&gt;=Settings!$B$13,"Creating more than it scores — due for goals. ","Goals in line with chances. "))&amp;IF(I45&gt;=LARGE($I$6:$I$69,3),"Top-3 high-danger creator on the slate. ","")&amp;"Faces "&amp;B45&amp;" (opp avg D-Score "&amp;TEXT(IFERROR(AVERAGEIF($A$6:$A$69,B45,$P$6:$P$69),0),"0")&amp;")."))</f>
        <v/>
      </c>
      <c r="W45" s="1" t="str">
        <f aca="false">IF(A45="","",IF(COUNTIF($A$6:A45,A45)=1,MAX($W$5:W44)+1,""))</f>
        <v/>
      </c>
      <c r="X45" s="1" t="str">
        <f aca="false">IF(OR(S45="",T45="CAUTION"),"",S45+ROW()/1000000)</f>
        <v/>
      </c>
      <c r="Y45" s="1" t="n">
        <f aca="false">IF(OR(S45="",T45="CAUTION"),0,S45*D45)</f>
        <v>0</v>
      </c>
      <c r="Z45" s="1" t="n">
        <f aca="false">IF(OR(S45="",T45="CAUTION"),0,D45)</f>
        <v>0</v>
      </c>
    </row>
    <row r="46" customFormat="false" ht="30" hidden="false" customHeight="true" outlineLevel="0" collapsed="false">
      <c r="A46" s="24"/>
      <c r="B46" s="24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6"/>
      <c r="S46" s="8" t="str">
        <f aca="false">IF(A46="","",IF(AND(G46=0,H46=0,I46=0),"",ROUND(100*(Settings!$B$9*(Settings!$B$5*IFERROR(PERCENTRANK($G$6:$G$69,G46),0.5)+Settings!$B$6*IFERROR(PERCENTRANK($I$6:$I$69,I46),0.5)+Settings!$B$7*IFERROR(PERCENTRANK($H$6:$H$69,H46),0.5)+Settings!$B$8*IFERROR(PERCENTRANK($E$6:$E$69,E46),0.5))+Settings!$B$10*(1-IFERROR(AVERAGEIF($A$6:$A$69,B46,$P$6:$P$69)/100,0.5))),1)))</f>
        <v/>
      </c>
      <c r="T46" s="7" t="str">
        <f aca="false">IF(A46="","",IF(S46="","LOW SAMPLE",IF(OR(R46&gt;=Settings!$B$18,R46&lt;=1-Settings!$B$18,Q46&gt;=Settings!$B$19,Q46&lt;=1-Settings!$B$19),"CAUTION",IF(S46&gt;=Settings!$B$11,"HIGH",IF(S46&gt;=Settings!$B$12,"MEDIUM","LOW")))))</f>
        <v/>
      </c>
      <c r="U46" s="27" t="str">
        <f aca="false">IF(X46="","",RANK(X46,$X$6:$X$69))</f>
        <v/>
      </c>
      <c r="V46" s="9" t="str">
        <f aca="false">IF(A46="","",IF(T46="LOW SAMPLE","Not enough data — this combination has barely played together. Ignore tonight.",IF(T46="CAUTION","CAUTION: extreme CF%/xGF% split — likely a tiny sample, numbers unreliable. Left out of Top 3 and team score. ",T46&amp;" scoring chance. ")&amp;IF(F46-G46&gt;=Settings!$B$13,"Finishing above its xG — regression risk. ",IF(G46-F46&gt;=Settings!$B$13,"Creating more than it scores — due for goals. ","Goals in line with chances. "))&amp;IF(I46&gt;=LARGE($I$6:$I$69,3),"Top-3 high-danger creator on the slate. ","")&amp;"Faces "&amp;B46&amp;" (opp avg D-Score "&amp;TEXT(IFERROR(AVERAGEIF($A$6:$A$69,B46,$P$6:$P$69),0),"0")&amp;")."))</f>
        <v/>
      </c>
      <c r="W46" s="1" t="str">
        <f aca="false">IF(A46="","",IF(COUNTIF($A$6:A46,A46)=1,MAX($W$5:W45)+1,""))</f>
        <v/>
      </c>
      <c r="X46" s="1" t="str">
        <f aca="false">IF(OR(S46="",T46="CAUTION"),"",S46+ROW()/1000000)</f>
        <v/>
      </c>
      <c r="Y46" s="1" t="n">
        <f aca="false">IF(OR(S46="",T46="CAUTION"),0,S46*D46)</f>
        <v>0</v>
      </c>
      <c r="Z46" s="1" t="n">
        <f aca="false">IF(OR(S46="",T46="CAUTION"),0,D46)</f>
        <v>0</v>
      </c>
    </row>
    <row r="47" customFormat="false" ht="30" hidden="false" customHeight="true" outlineLevel="0" collapsed="false">
      <c r="A47" s="24"/>
      <c r="B47" s="24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6"/>
      <c r="S47" s="8" t="str">
        <f aca="false">IF(A47="","",IF(AND(G47=0,H47=0,I47=0),"",ROUND(100*(Settings!$B$9*(Settings!$B$5*IFERROR(PERCENTRANK($G$6:$G$69,G47),0.5)+Settings!$B$6*IFERROR(PERCENTRANK($I$6:$I$69,I47),0.5)+Settings!$B$7*IFERROR(PERCENTRANK($H$6:$H$69,H47),0.5)+Settings!$B$8*IFERROR(PERCENTRANK($E$6:$E$69,E47),0.5))+Settings!$B$10*(1-IFERROR(AVERAGEIF($A$6:$A$69,B47,$P$6:$P$69)/100,0.5))),1)))</f>
        <v/>
      </c>
      <c r="T47" s="7" t="str">
        <f aca="false">IF(A47="","",IF(S47="","LOW SAMPLE",IF(OR(R47&gt;=Settings!$B$18,R47&lt;=1-Settings!$B$18,Q47&gt;=Settings!$B$19,Q47&lt;=1-Settings!$B$19),"CAUTION",IF(S47&gt;=Settings!$B$11,"HIGH",IF(S47&gt;=Settings!$B$12,"MEDIUM","LOW")))))</f>
        <v/>
      </c>
      <c r="U47" s="27" t="str">
        <f aca="false">IF(X47="","",RANK(X47,$X$6:$X$69))</f>
        <v/>
      </c>
      <c r="V47" s="9" t="str">
        <f aca="false">IF(A47="","",IF(T47="LOW SAMPLE","Not enough data — this combination has barely played together. Ignore tonight.",IF(T47="CAUTION","CAUTION: extreme CF%/xGF% split — likely a tiny sample, numbers unreliable. Left out of Top 3 and team score. ",T47&amp;" scoring chance. ")&amp;IF(F47-G47&gt;=Settings!$B$13,"Finishing above its xG — regression risk. ",IF(G47-F47&gt;=Settings!$B$13,"Creating more than it scores — due for goals. ","Goals in line with chances. "))&amp;IF(I47&gt;=LARGE($I$6:$I$69,3),"Top-3 high-danger creator on the slate. ","")&amp;"Faces "&amp;B47&amp;" (opp avg D-Score "&amp;TEXT(IFERROR(AVERAGEIF($A$6:$A$69,B47,$P$6:$P$69),0),"0")&amp;")."))</f>
        <v/>
      </c>
      <c r="W47" s="1" t="str">
        <f aca="false">IF(A47="","",IF(COUNTIF($A$6:A47,A47)=1,MAX($W$5:W46)+1,""))</f>
        <v/>
      </c>
      <c r="X47" s="1" t="str">
        <f aca="false">IF(OR(S47="",T47="CAUTION"),"",S47+ROW()/1000000)</f>
        <v/>
      </c>
      <c r="Y47" s="1" t="n">
        <f aca="false">IF(OR(S47="",T47="CAUTION"),0,S47*D47)</f>
        <v>0</v>
      </c>
      <c r="Z47" s="1" t="n">
        <f aca="false">IF(OR(S47="",T47="CAUTION"),0,D47)</f>
        <v>0</v>
      </c>
    </row>
    <row r="48" customFormat="false" ht="30" hidden="false" customHeight="true" outlineLevel="0" collapsed="false">
      <c r="A48" s="24"/>
      <c r="B48" s="24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6"/>
      <c r="S48" s="8" t="str">
        <f aca="false">IF(A48="","",IF(AND(G48=0,H48=0,I48=0),"",ROUND(100*(Settings!$B$9*(Settings!$B$5*IFERROR(PERCENTRANK($G$6:$G$69,G48),0.5)+Settings!$B$6*IFERROR(PERCENTRANK($I$6:$I$69,I48),0.5)+Settings!$B$7*IFERROR(PERCENTRANK($H$6:$H$69,H48),0.5)+Settings!$B$8*IFERROR(PERCENTRANK($E$6:$E$69,E48),0.5))+Settings!$B$10*(1-IFERROR(AVERAGEIF($A$6:$A$69,B48,$P$6:$P$69)/100,0.5))),1)))</f>
        <v/>
      </c>
      <c r="T48" s="7" t="str">
        <f aca="false">IF(A48="","",IF(S48="","LOW SAMPLE",IF(OR(R48&gt;=Settings!$B$18,R48&lt;=1-Settings!$B$18,Q48&gt;=Settings!$B$19,Q48&lt;=1-Settings!$B$19),"CAUTION",IF(S48&gt;=Settings!$B$11,"HIGH",IF(S48&gt;=Settings!$B$12,"MEDIUM","LOW")))))</f>
        <v/>
      </c>
      <c r="U48" s="27" t="str">
        <f aca="false">IF(X48="","",RANK(X48,$X$6:$X$69))</f>
        <v/>
      </c>
      <c r="V48" s="9" t="str">
        <f aca="false">IF(A48="","",IF(T48="LOW SAMPLE","Not enough data — this combination has barely played together. Ignore tonight.",IF(T48="CAUTION","CAUTION: extreme CF%/xGF% split — likely a tiny sample, numbers unreliable. Left out of Top 3 and team score. ",T48&amp;" scoring chance. ")&amp;IF(F48-G48&gt;=Settings!$B$13,"Finishing above its xG — regression risk. ",IF(G48-F48&gt;=Settings!$B$13,"Creating more than it scores — due for goals. ","Goals in line with chances. "))&amp;IF(I48&gt;=LARGE($I$6:$I$69,3),"Top-3 high-danger creator on the slate. ","")&amp;"Faces "&amp;B48&amp;" (opp avg D-Score "&amp;TEXT(IFERROR(AVERAGEIF($A$6:$A$69,B48,$P$6:$P$69),0),"0")&amp;")."))</f>
        <v/>
      </c>
      <c r="W48" s="1" t="str">
        <f aca="false">IF(A48="","",IF(COUNTIF($A$6:A48,A48)=1,MAX($W$5:W47)+1,""))</f>
        <v/>
      </c>
      <c r="X48" s="1" t="str">
        <f aca="false">IF(OR(S48="",T48="CAUTION"),"",S48+ROW()/1000000)</f>
        <v/>
      </c>
      <c r="Y48" s="1" t="n">
        <f aca="false">IF(OR(S48="",T48="CAUTION"),0,S48*D48)</f>
        <v>0</v>
      </c>
      <c r="Z48" s="1" t="n">
        <f aca="false">IF(OR(S48="",T48="CAUTION"),0,D48)</f>
        <v>0</v>
      </c>
    </row>
    <row r="49" customFormat="false" ht="30" hidden="false" customHeight="true" outlineLevel="0" collapsed="false">
      <c r="A49" s="24"/>
      <c r="B49" s="24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6"/>
      <c r="S49" s="8" t="str">
        <f aca="false">IF(A49="","",IF(AND(G49=0,H49=0,I49=0),"",ROUND(100*(Settings!$B$9*(Settings!$B$5*IFERROR(PERCENTRANK($G$6:$G$69,G49),0.5)+Settings!$B$6*IFERROR(PERCENTRANK($I$6:$I$69,I49),0.5)+Settings!$B$7*IFERROR(PERCENTRANK($H$6:$H$69,H49),0.5)+Settings!$B$8*IFERROR(PERCENTRANK($E$6:$E$69,E49),0.5))+Settings!$B$10*(1-IFERROR(AVERAGEIF($A$6:$A$69,B49,$P$6:$P$69)/100,0.5))),1)))</f>
        <v/>
      </c>
      <c r="T49" s="7" t="str">
        <f aca="false">IF(A49="","",IF(S49="","LOW SAMPLE",IF(OR(R49&gt;=Settings!$B$18,R49&lt;=1-Settings!$B$18,Q49&gt;=Settings!$B$19,Q49&lt;=1-Settings!$B$19),"CAUTION",IF(S49&gt;=Settings!$B$11,"HIGH",IF(S49&gt;=Settings!$B$12,"MEDIUM","LOW")))))</f>
        <v/>
      </c>
      <c r="U49" s="27" t="str">
        <f aca="false">IF(X49="","",RANK(X49,$X$6:$X$69))</f>
        <v/>
      </c>
      <c r="V49" s="9" t="str">
        <f aca="false">IF(A49="","",IF(T49="LOW SAMPLE","Not enough data — this combination has barely played together. Ignore tonight.",IF(T49="CAUTION","CAUTION: extreme CF%/xGF% split — likely a tiny sample, numbers unreliable. Left out of Top 3 and team score. ",T49&amp;" scoring chance. ")&amp;IF(F49-G49&gt;=Settings!$B$13,"Finishing above its xG — regression risk. ",IF(G49-F49&gt;=Settings!$B$13,"Creating more than it scores — due for goals. ","Goals in line with chances. "))&amp;IF(I49&gt;=LARGE($I$6:$I$69,3),"Top-3 high-danger creator on the slate. ","")&amp;"Faces "&amp;B49&amp;" (opp avg D-Score "&amp;TEXT(IFERROR(AVERAGEIF($A$6:$A$69,B49,$P$6:$P$69),0),"0")&amp;")."))</f>
        <v/>
      </c>
      <c r="W49" s="1" t="str">
        <f aca="false">IF(A49="","",IF(COUNTIF($A$6:A49,A49)=1,MAX($W$5:W48)+1,""))</f>
        <v/>
      </c>
      <c r="X49" s="1" t="str">
        <f aca="false">IF(OR(S49="",T49="CAUTION"),"",S49+ROW()/1000000)</f>
        <v/>
      </c>
      <c r="Y49" s="1" t="n">
        <f aca="false">IF(OR(S49="",T49="CAUTION"),0,S49*D49)</f>
        <v>0</v>
      </c>
      <c r="Z49" s="1" t="n">
        <f aca="false">IF(OR(S49="",T49="CAUTION"),0,D49)</f>
        <v>0</v>
      </c>
    </row>
    <row r="50" customFormat="false" ht="30" hidden="false" customHeight="true" outlineLevel="0" collapsed="false">
      <c r="A50" s="24"/>
      <c r="B50" s="24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6"/>
      <c r="S50" s="8" t="str">
        <f aca="false">IF(A50="","",IF(AND(G50=0,H50=0,I50=0),"",ROUND(100*(Settings!$B$9*(Settings!$B$5*IFERROR(PERCENTRANK($G$6:$G$69,G50),0.5)+Settings!$B$6*IFERROR(PERCENTRANK($I$6:$I$69,I50),0.5)+Settings!$B$7*IFERROR(PERCENTRANK($H$6:$H$69,H50),0.5)+Settings!$B$8*IFERROR(PERCENTRANK($E$6:$E$69,E50),0.5))+Settings!$B$10*(1-IFERROR(AVERAGEIF($A$6:$A$69,B50,$P$6:$P$69)/100,0.5))),1)))</f>
        <v/>
      </c>
      <c r="T50" s="7" t="str">
        <f aca="false">IF(A50="","",IF(S50="","LOW SAMPLE",IF(OR(R50&gt;=Settings!$B$18,R50&lt;=1-Settings!$B$18,Q50&gt;=Settings!$B$19,Q50&lt;=1-Settings!$B$19),"CAUTION",IF(S50&gt;=Settings!$B$11,"HIGH",IF(S50&gt;=Settings!$B$12,"MEDIUM","LOW")))))</f>
        <v/>
      </c>
      <c r="U50" s="27" t="str">
        <f aca="false">IF(X50="","",RANK(X50,$X$6:$X$69))</f>
        <v/>
      </c>
      <c r="V50" s="9" t="str">
        <f aca="false">IF(A50="","",IF(T50="LOW SAMPLE","Not enough data — this combination has barely played together. Ignore tonight.",IF(T50="CAUTION","CAUTION: extreme CF%/xGF% split — likely a tiny sample, numbers unreliable. Left out of Top 3 and team score. ",T50&amp;" scoring chance. ")&amp;IF(F50-G50&gt;=Settings!$B$13,"Finishing above its xG — regression risk. ",IF(G50-F50&gt;=Settings!$B$13,"Creating more than it scores — due for goals. ","Goals in line with chances. "))&amp;IF(I50&gt;=LARGE($I$6:$I$69,3),"Top-3 high-danger creator on the slate. ","")&amp;"Faces "&amp;B50&amp;" (opp avg D-Score "&amp;TEXT(IFERROR(AVERAGEIF($A$6:$A$69,B50,$P$6:$P$69),0),"0")&amp;")."))</f>
        <v/>
      </c>
      <c r="W50" s="1" t="str">
        <f aca="false">IF(A50="","",IF(COUNTIF($A$6:A50,A50)=1,MAX($W$5:W49)+1,""))</f>
        <v/>
      </c>
      <c r="X50" s="1" t="str">
        <f aca="false">IF(OR(S50="",T50="CAUTION"),"",S50+ROW()/1000000)</f>
        <v/>
      </c>
      <c r="Y50" s="1" t="n">
        <f aca="false">IF(OR(S50="",T50="CAUTION"),0,S50*D50)</f>
        <v>0</v>
      </c>
      <c r="Z50" s="1" t="n">
        <f aca="false">IF(OR(S50="",T50="CAUTION"),0,D50)</f>
        <v>0</v>
      </c>
    </row>
    <row r="51" customFormat="false" ht="30" hidden="false" customHeight="true" outlineLevel="0" collapsed="false">
      <c r="A51" s="24"/>
      <c r="B51" s="24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  <c r="R51" s="26"/>
      <c r="S51" s="8" t="str">
        <f aca="false">IF(A51="","",IF(AND(G51=0,H51=0,I51=0),"",ROUND(100*(Settings!$B$9*(Settings!$B$5*IFERROR(PERCENTRANK($G$6:$G$69,G51),0.5)+Settings!$B$6*IFERROR(PERCENTRANK($I$6:$I$69,I51),0.5)+Settings!$B$7*IFERROR(PERCENTRANK($H$6:$H$69,H51),0.5)+Settings!$B$8*IFERROR(PERCENTRANK($E$6:$E$69,E51),0.5))+Settings!$B$10*(1-IFERROR(AVERAGEIF($A$6:$A$69,B51,$P$6:$P$69)/100,0.5))),1)))</f>
        <v/>
      </c>
      <c r="T51" s="7" t="str">
        <f aca="false">IF(A51="","",IF(S51="","LOW SAMPLE",IF(OR(R51&gt;=Settings!$B$18,R51&lt;=1-Settings!$B$18,Q51&gt;=Settings!$B$19,Q51&lt;=1-Settings!$B$19),"CAUTION",IF(S51&gt;=Settings!$B$11,"HIGH",IF(S51&gt;=Settings!$B$12,"MEDIUM","LOW")))))</f>
        <v/>
      </c>
      <c r="U51" s="27" t="str">
        <f aca="false">IF(X51="","",RANK(X51,$X$6:$X$69))</f>
        <v/>
      </c>
      <c r="V51" s="9" t="str">
        <f aca="false">IF(A51="","",IF(T51="LOW SAMPLE","Not enough data — this combination has barely played together. Ignore tonight.",IF(T51="CAUTION","CAUTION: extreme CF%/xGF% split — likely a tiny sample, numbers unreliable. Left out of Top 3 and team score. ",T51&amp;" scoring chance. ")&amp;IF(F51-G51&gt;=Settings!$B$13,"Finishing above its xG — regression risk. ",IF(G51-F51&gt;=Settings!$B$13,"Creating more than it scores — due for goals. ","Goals in line with chances. "))&amp;IF(I51&gt;=LARGE($I$6:$I$69,3),"Top-3 high-danger creator on the slate. ","")&amp;"Faces "&amp;B51&amp;" (opp avg D-Score "&amp;TEXT(IFERROR(AVERAGEIF($A$6:$A$69,B51,$P$6:$P$69),0),"0")&amp;")."))</f>
        <v/>
      </c>
      <c r="W51" s="1" t="str">
        <f aca="false">IF(A51="","",IF(COUNTIF($A$6:A51,A51)=1,MAX($W$5:W50)+1,""))</f>
        <v/>
      </c>
      <c r="X51" s="1" t="str">
        <f aca="false">IF(OR(S51="",T51="CAUTION"),"",S51+ROW()/1000000)</f>
        <v/>
      </c>
      <c r="Y51" s="1" t="n">
        <f aca="false">IF(OR(S51="",T51="CAUTION"),0,S51*D51)</f>
        <v>0</v>
      </c>
      <c r="Z51" s="1" t="n">
        <f aca="false">IF(OR(S51="",T51="CAUTION"),0,D51)</f>
        <v>0</v>
      </c>
    </row>
    <row r="52" customFormat="false" ht="30" hidden="false" customHeight="true" outlineLevel="0" collapsed="false">
      <c r="A52" s="24"/>
      <c r="B52" s="24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6"/>
      <c r="S52" s="8" t="str">
        <f aca="false">IF(A52="","",IF(AND(G52=0,H52=0,I52=0),"",ROUND(100*(Settings!$B$9*(Settings!$B$5*IFERROR(PERCENTRANK($G$6:$G$69,G52),0.5)+Settings!$B$6*IFERROR(PERCENTRANK($I$6:$I$69,I52),0.5)+Settings!$B$7*IFERROR(PERCENTRANK($H$6:$H$69,H52),0.5)+Settings!$B$8*IFERROR(PERCENTRANK($E$6:$E$69,E52),0.5))+Settings!$B$10*(1-IFERROR(AVERAGEIF($A$6:$A$69,B52,$P$6:$P$69)/100,0.5))),1)))</f>
        <v/>
      </c>
      <c r="T52" s="7" t="str">
        <f aca="false">IF(A52="","",IF(S52="","LOW SAMPLE",IF(OR(R52&gt;=Settings!$B$18,R52&lt;=1-Settings!$B$18,Q52&gt;=Settings!$B$19,Q52&lt;=1-Settings!$B$19),"CAUTION",IF(S52&gt;=Settings!$B$11,"HIGH",IF(S52&gt;=Settings!$B$12,"MEDIUM","LOW")))))</f>
        <v/>
      </c>
      <c r="U52" s="27" t="str">
        <f aca="false">IF(X52="","",RANK(X52,$X$6:$X$69))</f>
        <v/>
      </c>
      <c r="V52" s="9" t="str">
        <f aca="false">IF(A52="","",IF(T52="LOW SAMPLE","Not enough data — this combination has barely played together. Ignore tonight.",IF(T52="CAUTION","CAUTION: extreme CF%/xGF% split — likely a tiny sample, numbers unreliable. Left out of Top 3 and team score. ",T52&amp;" scoring chance. ")&amp;IF(F52-G52&gt;=Settings!$B$13,"Finishing above its xG — regression risk. ",IF(G52-F52&gt;=Settings!$B$13,"Creating more than it scores — due for goals. ","Goals in line with chances. "))&amp;IF(I52&gt;=LARGE($I$6:$I$69,3),"Top-3 high-danger creator on the slate. ","")&amp;"Faces "&amp;B52&amp;" (opp avg D-Score "&amp;TEXT(IFERROR(AVERAGEIF($A$6:$A$69,B52,$P$6:$P$69),0),"0")&amp;")."))</f>
        <v/>
      </c>
      <c r="W52" s="1" t="str">
        <f aca="false">IF(A52="","",IF(COUNTIF($A$6:A52,A52)=1,MAX($W$5:W51)+1,""))</f>
        <v/>
      </c>
      <c r="X52" s="1" t="str">
        <f aca="false">IF(OR(S52="",T52="CAUTION"),"",S52+ROW()/1000000)</f>
        <v/>
      </c>
      <c r="Y52" s="1" t="n">
        <f aca="false">IF(OR(S52="",T52="CAUTION"),0,S52*D52)</f>
        <v>0</v>
      </c>
      <c r="Z52" s="1" t="n">
        <f aca="false">IF(OR(S52="",T52="CAUTION"),0,D52)</f>
        <v>0</v>
      </c>
    </row>
    <row r="53" customFormat="false" ht="30" hidden="false" customHeight="true" outlineLevel="0" collapsed="false">
      <c r="A53" s="24"/>
      <c r="B53" s="24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6"/>
      <c r="S53" s="8" t="str">
        <f aca="false">IF(A53="","",IF(AND(G53=0,H53=0,I53=0),"",ROUND(100*(Settings!$B$9*(Settings!$B$5*IFERROR(PERCENTRANK($G$6:$G$69,G53),0.5)+Settings!$B$6*IFERROR(PERCENTRANK($I$6:$I$69,I53),0.5)+Settings!$B$7*IFERROR(PERCENTRANK($H$6:$H$69,H53),0.5)+Settings!$B$8*IFERROR(PERCENTRANK($E$6:$E$69,E53),0.5))+Settings!$B$10*(1-IFERROR(AVERAGEIF($A$6:$A$69,B53,$P$6:$P$69)/100,0.5))),1)))</f>
        <v/>
      </c>
      <c r="T53" s="7" t="str">
        <f aca="false">IF(A53="","",IF(S53="","LOW SAMPLE",IF(OR(R53&gt;=Settings!$B$18,R53&lt;=1-Settings!$B$18,Q53&gt;=Settings!$B$19,Q53&lt;=1-Settings!$B$19),"CAUTION",IF(S53&gt;=Settings!$B$11,"HIGH",IF(S53&gt;=Settings!$B$12,"MEDIUM","LOW")))))</f>
        <v/>
      </c>
      <c r="U53" s="27" t="str">
        <f aca="false">IF(X53="","",RANK(X53,$X$6:$X$69))</f>
        <v/>
      </c>
      <c r="V53" s="9" t="str">
        <f aca="false">IF(A53="","",IF(T53="LOW SAMPLE","Not enough data — this combination has barely played together. Ignore tonight.",IF(T53="CAUTION","CAUTION: extreme CF%/xGF% split — likely a tiny sample, numbers unreliable. Left out of Top 3 and team score. ",T53&amp;" scoring chance. ")&amp;IF(F53-G53&gt;=Settings!$B$13,"Finishing above its xG — regression risk. ",IF(G53-F53&gt;=Settings!$B$13,"Creating more than it scores — due for goals. ","Goals in line with chances. "))&amp;IF(I53&gt;=LARGE($I$6:$I$69,3),"Top-3 high-danger creator on the slate. ","")&amp;"Faces "&amp;B53&amp;" (opp avg D-Score "&amp;TEXT(IFERROR(AVERAGEIF($A$6:$A$69,B53,$P$6:$P$69),0),"0")&amp;")."))</f>
        <v/>
      </c>
      <c r="W53" s="1" t="str">
        <f aca="false">IF(A53="","",IF(COUNTIF($A$6:A53,A53)=1,MAX($W$5:W52)+1,""))</f>
        <v/>
      </c>
      <c r="X53" s="1" t="str">
        <f aca="false">IF(OR(S53="",T53="CAUTION"),"",S53+ROW()/1000000)</f>
        <v/>
      </c>
      <c r="Y53" s="1" t="n">
        <f aca="false">IF(OR(S53="",T53="CAUTION"),0,S53*D53)</f>
        <v>0</v>
      </c>
      <c r="Z53" s="1" t="n">
        <f aca="false">IF(OR(S53="",T53="CAUTION"),0,D53)</f>
        <v>0</v>
      </c>
    </row>
    <row r="54" customFormat="false" ht="30" hidden="false" customHeight="true" outlineLevel="0" collapsed="false">
      <c r="A54" s="24"/>
      <c r="B54" s="24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6"/>
      <c r="S54" s="8" t="str">
        <f aca="false">IF(A54="","",IF(AND(G54=0,H54=0,I54=0),"",ROUND(100*(Settings!$B$9*(Settings!$B$5*IFERROR(PERCENTRANK($G$6:$G$69,G54),0.5)+Settings!$B$6*IFERROR(PERCENTRANK($I$6:$I$69,I54),0.5)+Settings!$B$7*IFERROR(PERCENTRANK($H$6:$H$69,H54),0.5)+Settings!$B$8*IFERROR(PERCENTRANK($E$6:$E$69,E54),0.5))+Settings!$B$10*(1-IFERROR(AVERAGEIF($A$6:$A$69,B54,$P$6:$P$69)/100,0.5))),1)))</f>
        <v/>
      </c>
      <c r="T54" s="7" t="str">
        <f aca="false">IF(A54="","",IF(S54="","LOW SAMPLE",IF(OR(R54&gt;=Settings!$B$18,R54&lt;=1-Settings!$B$18,Q54&gt;=Settings!$B$19,Q54&lt;=1-Settings!$B$19),"CAUTION",IF(S54&gt;=Settings!$B$11,"HIGH",IF(S54&gt;=Settings!$B$12,"MEDIUM","LOW")))))</f>
        <v/>
      </c>
      <c r="U54" s="27" t="str">
        <f aca="false">IF(X54="","",RANK(X54,$X$6:$X$69))</f>
        <v/>
      </c>
      <c r="V54" s="9" t="str">
        <f aca="false">IF(A54="","",IF(T54="LOW SAMPLE","Not enough data — this combination has barely played together. Ignore tonight.",IF(T54="CAUTION","CAUTION: extreme CF%/xGF% split — likely a tiny sample, numbers unreliable. Left out of Top 3 and team score. ",T54&amp;" scoring chance. ")&amp;IF(F54-G54&gt;=Settings!$B$13,"Finishing above its xG — regression risk. ",IF(G54-F54&gt;=Settings!$B$13,"Creating more than it scores — due for goals. ","Goals in line with chances. "))&amp;IF(I54&gt;=LARGE($I$6:$I$69,3),"Top-3 high-danger creator on the slate. ","")&amp;"Faces "&amp;B54&amp;" (opp avg D-Score "&amp;TEXT(IFERROR(AVERAGEIF($A$6:$A$69,B54,$P$6:$P$69),0),"0")&amp;")."))</f>
        <v/>
      </c>
      <c r="W54" s="1" t="str">
        <f aca="false">IF(A54="","",IF(COUNTIF($A$6:A54,A54)=1,MAX($W$5:W53)+1,""))</f>
        <v/>
      </c>
      <c r="X54" s="1" t="str">
        <f aca="false">IF(OR(S54="",T54="CAUTION"),"",S54+ROW()/1000000)</f>
        <v/>
      </c>
      <c r="Y54" s="1" t="n">
        <f aca="false">IF(OR(S54="",T54="CAUTION"),0,S54*D54)</f>
        <v>0</v>
      </c>
      <c r="Z54" s="1" t="n">
        <f aca="false">IF(OR(S54="",T54="CAUTION"),0,D54)</f>
        <v>0</v>
      </c>
    </row>
    <row r="55" customFormat="false" ht="30" hidden="false" customHeight="true" outlineLevel="0" collapsed="false">
      <c r="A55" s="24"/>
      <c r="B55" s="24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6"/>
      <c r="S55" s="8" t="str">
        <f aca="false">IF(A55="","",IF(AND(G55=0,H55=0,I55=0),"",ROUND(100*(Settings!$B$9*(Settings!$B$5*IFERROR(PERCENTRANK($G$6:$G$69,G55),0.5)+Settings!$B$6*IFERROR(PERCENTRANK($I$6:$I$69,I55),0.5)+Settings!$B$7*IFERROR(PERCENTRANK($H$6:$H$69,H55),0.5)+Settings!$B$8*IFERROR(PERCENTRANK($E$6:$E$69,E55),0.5))+Settings!$B$10*(1-IFERROR(AVERAGEIF($A$6:$A$69,B55,$P$6:$P$69)/100,0.5))),1)))</f>
        <v/>
      </c>
      <c r="T55" s="7" t="str">
        <f aca="false">IF(A55="","",IF(S55="","LOW SAMPLE",IF(OR(R55&gt;=Settings!$B$18,R55&lt;=1-Settings!$B$18,Q55&gt;=Settings!$B$19,Q55&lt;=1-Settings!$B$19),"CAUTION",IF(S55&gt;=Settings!$B$11,"HIGH",IF(S55&gt;=Settings!$B$12,"MEDIUM","LOW")))))</f>
        <v/>
      </c>
      <c r="U55" s="27" t="str">
        <f aca="false">IF(X55="","",RANK(X55,$X$6:$X$69))</f>
        <v/>
      </c>
      <c r="V55" s="9" t="str">
        <f aca="false">IF(A55="","",IF(T55="LOW SAMPLE","Not enough data — this combination has barely played together. Ignore tonight.",IF(T55="CAUTION","CAUTION: extreme CF%/xGF% split — likely a tiny sample, numbers unreliable. Left out of Top 3 and team score. ",T55&amp;" scoring chance. ")&amp;IF(F55-G55&gt;=Settings!$B$13,"Finishing above its xG — regression risk. ",IF(G55-F55&gt;=Settings!$B$13,"Creating more than it scores — due for goals. ","Goals in line with chances. "))&amp;IF(I55&gt;=LARGE($I$6:$I$69,3),"Top-3 high-danger creator on the slate. ","")&amp;"Faces "&amp;B55&amp;" (opp avg D-Score "&amp;TEXT(IFERROR(AVERAGEIF($A$6:$A$69,B55,$P$6:$P$69),0),"0")&amp;")."))</f>
        <v/>
      </c>
      <c r="W55" s="1" t="str">
        <f aca="false">IF(A55="","",IF(COUNTIF($A$6:A55,A55)=1,MAX($W$5:W54)+1,""))</f>
        <v/>
      </c>
      <c r="X55" s="1" t="str">
        <f aca="false">IF(OR(S55="",T55="CAUTION"),"",S55+ROW()/1000000)</f>
        <v/>
      </c>
      <c r="Y55" s="1" t="n">
        <f aca="false">IF(OR(S55="",T55="CAUTION"),0,S55*D55)</f>
        <v>0</v>
      </c>
      <c r="Z55" s="1" t="n">
        <f aca="false">IF(OR(S55="",T55="CAUTION"),0,D55)</f>
        <v>0</v>
      </c>
    </row>
    <row r="56" customFormat="false" ht="30" hidden="false" customHeight="true" outlineLevel="0" collapsed="false">
      <c r="A56" s="24"/>
      <c r="B56" s="24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6"/>
      <c r="S56" s="8" t="str">
        <f aca="false">IF(A56="","",IF(AND(G56=0,H56=0,I56=0),"",ROUND(100*(Settings!$B$9*(Settings!$B$5*IFERROR(PERCENTRANK($G$6:$G$69,G56),0.5)+Settings!$B$6*IFERROR(PERCENTRANK($I$6:$I$69,I56),0.5)+Settings!$B$7*IFERROR(PERCENTRANK($H$6:$H$69,H56),0.5)+Settings!$B$8*IFERROR(PERCENTRANK($E$6:$E$69,E56),0.5))+Settings!$B$10*(1-IFERROR(AVERAGEIF($A$6:$A$69,B56,$P$6:$P$69)/100,0.5))),1)))</f>
        <v/>
      </c>
      <c r="T56" s="7" t="str">
        <f aca="false">IF(A56="","",IF(S56="","LOW SAMPLE",IF(OR(R56&gt;=Settings!$B$18,R56&lt;=1-Settings!$B$18,Q56&gt;=Settings!$B$19,Q56&lt;=1-Settings!$B$19),"CAUTION",IF(S56&gt;=Settings!$B$11,"HIGH",IF(S56&gt;=Settings!$B$12,"MEDIUM","LOW")))))</f>
        <v/>
      </c>
      <c r="U56" s="27" t="str">
        <f aca="false">IF(X56="","",RANK(X56,$X$6:$X$69))</f>
        <v/>
      </c>
      <c r="V56" s="9" t="str">
        <f aca="false">IF(A56="","",IF(T56="LOW SAMPLE","Not enough data — this combination has barely played together. Ignore tonight.",IF(T56="CAUTION","CAUTION: extreme CF%/xGF% split — likely a tiny sample, numbers unreliable. Left out of Top 3 and team score. ",T56&amp;" scoring chance. ")&amp;IF(F56-G56&gt;=Settings!$B$13,"Finishing above its xG — regression risk. ",IF(G56-F56&gt;=Settings!$B$13,"Creating more than it scores — due for goals. ","Goals in line with chances. "))&amp;IF(I56&gt;=LARGE($I$6:$I$69,3),"Top-3 high-danger creator on the slate. ","")&amp;"Faces "&amp;B56&amp;" (opp avg D-Score "&amp;TEXT(IFERROR(AVERAGEIF($A$6:$A$69,B56,$P$6:$P$69),0),"0")&amp;")."))</f>
        <v/>
      </c>
      <c r="W56" s="1" t="str">
        <f aca="false">IF(A56="","",IF(COUNTIF($A$6:A56,A56)=1,MAX($W$5:W55)+1,""))</f>
        <v/>
      </c>
      <c r="X56" s="1" t="str">
        <f aca="false">IF(OR(S56="",T56="CAUTION"),"",S56+ROW()/1000000)</f>
        <v/>
      </c>
      <c r="Y56" s="1" t="n">
        <f aca="false">IF(OR(S56="",T56="CAUTION"),0,S56*D56)</f>
        <v>0</v>
      </c>
      <c r="Z56" s="1" t="n">
        <f aca="false">IF(OR(S56="",T56="CAUTION"),0,D56)</f>
        <v>0</v>
      </c>
    </row>
    <row r="57" customFormat="false" ht="30" hidden="false" customHeight="true" outlineLevel="0" collapsed="false">
      <c r="A57" s="24"/>
      <c r="B57" s="24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  <c r="S57" s="8" t="str">
        <f aca="false">IF(A57="","",IF(AND(G57=0,H57=0,I57=0),"",ROUND(100*(Settings!$B$9*(Settings!$B$5*IFERROR(PERCENTRANK($G$6:$G$69,G57),0.5)+Settings!$B$6*IFERROR(PERCENTRANK($I$6:$I$69,I57),0.5)+Settings!$B$7*IFERROR(PERCENTRANK($H$6:$H$69,H57),0.5)+Settings!$B$8*IFERROR(PERCENTRANK($E$6:$E$69,E57),0.5))+Settings!$B$10*(1-IFERROR(AVERAGEIF($A$6:$A$69,B57,$P$6:$P$69)/100,0.5))),1)))</f>
        <v/>
      </c>
      <c r="T57" s="7" t="str">
        <f aca="false">IF(A57="","",IF(S57="","LOW SAMPLE",IF(OR(R57&gt;=Settings!$B$18,R57&lt;=1-Settings!$B$18,Q57&gt;=Settings!$B$19,Q57&lt;=1-Settings!$B$19),"CAUTION",IF(S57&gt;=Settings!$B$11,"HIGH",IF(S57&gt;=Settings!$B$12,"MEDIUM","LOW")))))</f>
        <v/>
      </c>
      <c r="U57" s="27" t="str">
        <f aca="false">IF(X57="","",RANK(X57,$X$6:$X$69))</f>
        <v/>
      </c>
      <c r="V57" s="9" t="str">
        <f aca="false">IF(A57="","",IF(T57="LOW SAMPLE","Not enough data — this combination has barely played together. Ignore tonight.",IF(T57="CAUTION","CAUTION: extreme CF%/xGF% split — likely a tiny sample, numbers unreliable. Left out of Top 3 and team score. ",T57&amp;" scoring chance. ")&amp;IF(F57-G57&gt;=Settings!$B$13,"Finishing above its xG — regression risk. ",IF(G57-F57&gt;=Settings!$B$13,"Creating more than it scores — due for goals. ","Goals in line with chances. "))&amp;IF(I57&gt;=LARGE($I$6:$I$69,3),"Top-3 high-danger creator on the slate. ","")&amp;"Faces "&amp;B57&amp;" (opp avg D-Score "&amp;TEXT(IFERROR(AVERAGEIF($A$6:$A$69,B57,$P$6:$P$69),0),"0")&amp;")."))</f>
        <v/>
      </c>
      <c r="W57" s="1" t="str">
        <f aca="false">IF(A57="","",IF(COUNTIF($A$6:A57,A57)=1,MAX($W$5:W56)+1,""))</f>
        <v/>
      </c>
      <c r="X57" s="1" t="str">
        <f aca="false">IF(OR(S57="",T57="CAUTION"),"",S57+ROW()/1000000)</f>
        <v/>
      </c>
      <c r="Y57" s="1" t="n">
        <f aca="false">IF(OR(S57="",T57="CAUTION"),0,S57*D57)</f>
        <v>0</v>
      </c>
      <c r="Z57" s="1" t="n">
        <f aca="false">IF(OR(S57="",T57="CAUTION"),0,D57)</f>
        <v>0</v>
      </c>
    </row>
    <row r="58" customFormat="false" ht="30" hidden="false" customHeight="true" outlineLevel="0" collapsed="false">
      <c r="A58" s="24"/>
      <c r="B58" s="24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6"/>
      <c r="S58" s="8" t="str">
        <f aca="false">IF(A58="","",IF(AND(G58=0,H58=0,I58=0),"",ROUND(100*(Settings!$B$9*(Settings!$B$5*IFERROR(PERCENTRANK($G$6:$G$69,G58),0.5)+Settings!$B$6*IFERROR(PERCENTRANK($I$6:$I$69,I58),0.5)+Settings!$B$7*IFERROR(PERCENTRANK($H$6:$H$69,H58),0.5)+Settings!$B$8*IFERROR(PERCENTRANK($E$6:$E$69,E58),0.5))+Settings!$B$10*(1-IFERROR(AVERAGEIF($A$6:$A$69,B58,$P$6:$P$69)/100,0.5))),1)))</f>
        <v/>
      </c>
      <c r="T58" s="7" t="str">
        <f aca="false">IF(A58="","",IF(S58="","LOW SAMPLE",IF(OR(R58&gt;=Settings!$B$18,R58&lt;=1-Settings!$B$18,Q58&gt;=Settings!$B$19,Q58&lt;=1-Settings!$B$19),"CAUTION",IF(S58&gt;=Settings!$B$11,"HIGH",IF(S58&gt;=Settings!$B$12,"MEDIUM","LOW")))))</f>
        <v/>
      </c>
      <c r="U58" s="27" t="str">
        <f aca="false">IF(X58="","",RANK(X58,$X$6:$X$69))</f>
        <v/>
      </c>
      <c r="V58" s="9" t="str">
        <f aca="false">IF(A58="","",IF(T58="LOW SAMPLE","Not enough data — this combination has barely played together. Ignore tonight.",IF(T58="CAUTION","CAUTION: extreme CF%/xGF% split — likely a tiny sample, numbers unreliable. Left out of Top 3 and team score. ",T58&amp;" scoring chance. ")&amp;IF(F58-G58&gt;=Settings!$B$13,"Finishing above its xG — regression risk. ",IF(G58-F58&gt;=Settings!$B$13,"Creating more than it scores — due for goals. ","Goals in line with chances. "))&amp;IF(I58&gt;=LARGE($I$6:$I$69,3),"Top-3 high-danger creator on the slate. ","")&amp;"Faces "&amp;B58&amp;" (opp avg D-Score "&amp;TEXT(IFERROR(AVERAGEIF($A$6:$A$69,B58,$P$6:$P$69),0),"0")&amp;")."))</f>
        <v/>
      </c>
      <c r="W58" s="1" t="str">
        <f aca="false">IF(A58="","",IF(COUNTIF($A$6:A58,A58)=1,MAX($W$5:W57)+1,""))</f>
        <v/>
      </c>
      <c r="X58" s="1" t="str">
        <f aca="false">IF(OR(S58="",T58="CAUTION"),"",S58+ROW()/1000000)</f>
        <v/>
      </c>
      <c r="Y58" s="1" t="n">
        <f aca="false">IF(OR(S58="",T58="CAUTION"),0,S58*D58)</f>
        <v>0</v>
      </c>
      <c r="Z58" s="1" t="n">
        <f aca="false">IF(OR(S58="",T58="CAUTION"),0,D58)</f>
        <v>0</v>
      </c>
    </row>
    <row r="59" customFormat="false" ht="30" hidden="false" customHeight="true" outlineLevel="0" collapsed="false">
      <c r="A59" s="24"/>
      <c r="B59" s="24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6"/>
      <c r="R59" s="26"/>
      <c r="S59" s="8" t="str">
        <f aca="false">IF(A59="","",IF(AND(G59=0,H59=0,I59=0),"",ROUND(100*(Settings!$B$9*(Settings!$B$5*IFERROR(PERCENTRANK($G$6:$G$69,G59),0.5)+Settings!$B$6*IFERROR(PERCENTRANK($I$6:$I$69,I59),0.5)+Settings!$B$7*IFERROR(PERCENTRANK($H$6:$H$69,H59),0.5)+Settings!$B$8*IFERROR(PERCENTRANK($E$6:$E$69,E59),0.5))+Settings!$B$10*(1-IFERROR(AVERAGEIF($A$6:$A$69,B59,$P$6:$P$69)/100,0.5))),1)))</f>
        <v/>
      </c>
      <c r="T59" s="7" t="str">
        <f aca="false">IF(A59="","",IF(S59="","LOW SAMPLE",IF(OR(R59&gt;=Settings!$B$18,R59&lt;=1-Settings!$B$18,Q59&gt;=Settings!$B$19,Q59&lt;=1-Settings!$B$19),"CAUTION",IF(S59&gt;=Settings!$B$11,"HIGH",IF(S59&gt;=Settings!$B$12,"MEDIUM","LOW")))))</f>
        <v/>
      </c>
      <c r="U59" s="27" t="str">
        <f aca="false">IF(X59="","",RANK(X59,$X$6:$X$69))</f>
        <v/>
      </c>
      <c r="V59" s="9" t="str">
        <f aca="false">IF(A59="","",IF(T59="LOW SAMPLE","Not enough data — this combination has barely played together. Ignore tonight.",IF(T59="CAUTION","CAUTION: extreme CF%/xGF% split — likely a tiny sample, numbers unreliable. Left out of Top 3 and team score. ",T59&amp;" scoring chance. ")&amp;IF(F59-G59&gt;=Settings!$B$13,"Finishing above its xG — regression risk. ",IF(G59-F59&gt;=Settings!$B$13,"Creating more than it scores — due for goals. ","Goals in line with chances. "))&amp;IF(I59&gt;=LARGE($I$6:$I$69,3),"Top-3 high-danger creator on the slate. ","")&amp;"Faces "&amp;B59&amp;" (opp avg D-Score "&amp;TEXT(IFERROR(AVERAGEIF($A$6:$A$69,B59,$P$6:$P$69),0),"0")&amp;")."))</f>
        <v/>
      </c>
      <c r="W59" s="1" t="str">
        <f aca="false">IF(A59="","",IF(COUNTIF($A$6:A59,A59)=1,MAX($W$5:W58)+1,""))</f>
        <v/>
      </c>
      <c r="X59" s="1" t="str">
        <f aca="false">IF(OR(S59="",T59="CAUTION"),"",S59+ROW()/1000000)</f>
        <v/>
      </c>
      <c r="Y59" s="1" t="n">
        <f aca="false">IF(OR(S59="",T59="CAUTION"),0,S59*D59)</f>
        <v>0</v>
      </c>
      <c r="Z59" s="1" t="n">
        <f aca="false">IF(OR(S59="",T59="CAUTION"),0,D59)</f>
        <v>0</v>
      </c>
    </row>
    <row r="60" customFormat="false" ht="30" hidden="false" customHeight="true" outlineLevel="0" collapsed="false">
      <c r="A60" s="24"/>
      <c r="B60" s="24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6"/>
      <c r="S60" s="8" t="str">
        <f aca="false">IF(A60="","",IF(AND(G60=0,H60=0,I60=0),"",ROUND(100*(Settings!$B$9*(Settings!$B$5*IFERROR(PERCENTRANK($G$6:$G$69,G60),0.5)+Settings!$B$6*IFERROR(PERCENTRANK($I$6:$I$69,I60),0.5)+Settings!$B$7*IFERROR(PERCENTRANK($H$6:$H$69,H60),0.5)+Settings!$B$8*IFERROR(PERCENTRANK($E$6:$E$69,E60),0.5))+Settings!$B$10*(1-IFERROR(AVERAGEIF($A$6:$A$69,B60,$P$6:$P$69)/100,0.5))),1)))</f>
        <v/>
      </c>
      <c r="T60" s="7" t="str">
        <f aca="false">IF(A60="","",IF(S60="","LOW SAMPLE",IF(OR(R60&gt;=Settings!$B$18,R60&lt;=1-Settings!$B$18,Q60&gt;=Settings!$B$19,Q60&lt;=1-Settings!$B$19),"CAUTION",IF(S60&gt;=Settings!$B$11,"HIGH",IF(S60&gt;=Settings!$B$12,"MEDIUM","LOW")))))</f>
        <v/>
      </c>
      <c r="U60" s="27" t="str">
        <f aca="false">IF(X60="","",RANK(X60,$X$6:$X$69))</f>
        <v/>
      </c>
      <c r="V60" s="9" t="str">
        <f aca="false">IF(A60="","",IF(T60="LOW SAMPLE","Not enough data — this combination has barely played together. Ignore tonight.",IF(T60="CAUTION","CAUTION: extreme CF%/xGF% split — likely a tiny sample, numbers unreliable. Left out of Top 3 and team score. ",T60&amp;" scoring chance. ")&amp;IF(F60-G60&gt;=Settings!$B$13,"Finishing above its xG — regression risk. ",IF(G60-F60&gt;=Settings!$B$13,"Creating more than it scores — due for goals. ","Goals in line with chances. "))&amp;IF(I60&gt;=LARGE($I$6:$I$69,3),"Top-3 high-danger creator on the slate. ","")&amp;"Faces "&amp;B60&amp;" (opp avg D-Score "&amp;TEXT(IFERROR(AVERAGEIF($A$6:$A$69,B60,$P$6:$P$69),0),"0")&amp;")."))</f>
        <v/>
      </c>
      <c r="W60" s="1" t="str">
        <f aca="false">IF(A60="","",IF(COUNTIF($A$6:A60,A60)=1,MAX($W$5:W59)+1,""))</f>
        <v/>
      </c>
      <c r="X60" s="1" t="str">
        <f aca="false">IF(OR(S60="",T60="CAUTION"),"",S60+ROW()/1000000)</f>
        <v/>
      </c>
      <c r="Y60" s="1" t="n">
        <f aca="false">IF(OR(S60="",T60="CAUTION"),0,S60*D60)</f>
        <v>0</v>
      </c>
      <c r="Z60" s="1" t="n">
        <f aca="false">IF(OR(S60="",T60="CAUTION"),0,D60)</f>
        <v>0</v>
      </c>
    </row>
    <row r="61" customFormat="false" ht="30" hidden="false" customHeight="true" outlineLevel="0" collapsed="false">
      <c r="A61" s="24"/>
      <c r="B61" s="24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6"/>
      <c r="S61" s="8" t="str">
        <f aca="false">IF(A61="","",IF(AND(G61=0,H61=0,I61=0),"",ROUND(100*(Settings!$B$9*(Settings!$B$5*IFERROR(PERCENTRANK($G$6:$G$69,G61),0.5)+Settings!$B$6*IFERROR(PERCENTRANK($I$6:$I$69,I61),0.5)+Settings!$B$7*IFERROR(PERCENTRANK($H$6:$H$69,H61),0.5)+Settings!$B$8*IFERROR(PERCENTRANK($E$6:$E$69,E61),0.5))+Settings!$B$10*(1-IFERROR(AVERAGEIF($A$6:$A$69,B61,$P$6:$P$69)/100,0.5))),1)))</f>
        <v/>
      </c>
      <c r="T61" s="7" t="str">
        <f aca="false">IF(A61="","",IF(S61="","LOW SAMPLE",IF(OR(R61&gt;=Settings!$B$18,R61&lt;=1-Settings!$B$18,Q61&gt;=Settings!$B$19,Q61&lt;=1-Settings!$B$19),"CAUTION",IF(S61&gt;=Settings!$B$11,"HIGH",IF(S61&gt;=Settings!$B$12,"MEDIUM","LOW")))))</f>
        <v/>
      </c>
      <c r="U61" s="27" t="str">
        <f aca="false">IF(X61="","",RANK(X61,$X$6:$X$69))</f>
        <v/>
      </c>
      <c r="V61" s="9" t="str">
        <f aca="false">IF(A61="","",IF(T61="LOW SAMPLE","Not enough data — this combination has barely played together. Ignore tonight.",IF(T61="CAUTION","CAUTION: extreme CF%/xGF% split — likely a tiny sample, numbers unreliable. Left out of Top 3 and team score. ",T61&amp;" scoring chance. ")&amp;IF(F61-G61&gt;=Settings!$B$13,"Finishing above its xG — regression risk. ",IF(G61-F61&gt;=Settings!$B$13,"Creating more than it scores — due for goals. ","Goals in line with chances. "))&amp;IF(I61&gt;=LARGE($I$6:$I$69,3),"Top-3 high-danger creator on the slate. ","")&amp;"Faces "&amp;B61&amp;" (opp avg D-Score "&amp;TEXT(IFERROR(AVERAGEIF($A$6:$A$69,B61,$P$6:$P$69),0),"0")&amp;")."))</f>
        <v/>
      </c>
      <c r="W61" s="1" t="str">
        <f aca="false">IF(A61="","",IF(COUNTIF($A$6:A61,A61)=1,MAX($W$5:W60)+1,""))</f>
        <v/>
      </c>
      <c r="X61" s="1" t="str">
        <f aca="false">IF(OR(S61="",T61="CAUTION"),"",S61+ROW()/1000000)</f>
        <v/>
      </c>
      <c r="Y61" s="1" t="n">
        <f aca="false">IF(OR(S61="",T61="CAUTION"),0,S61*D61)</f>
        <v>0</v>
      </c>
      <c r="Z61" s="1" t="n">
        <f aca="false">IF(OR(S61="",T61="CAUTION"),0,D61)</f>
        <v>0</v>
      </c>
    </row>
    <row r="62" customFormat="false" ht="30" hidden="false" customHeight="true" outlineLevel="0" collapsed="false">
      <c r="A62" s="24"/>
      <c r="B62" s="24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6"/>
      <c r="S62" s="8" t="str">
        <f aca="false">IF(A62="","",IF(AND(G62=0,H62=0,I62=0),"",ROUND(100*(Settings!$B$9*(Settings!$B$5*IFERROR(PERCENTRANK($G$6:$G$69,G62),0.5)+Settings!$B$6*IFERROR(PERCENTRANK($I$6:$I$69,I62),0.5)+Settings!$B$7*IFERROR(PERCENTRANK($H$6:$H$69,H62),0.5)+Settings!$B$8*IFERROR(PERCENTRANK($E$6:$E$69,E62),0.5))+Settings!$B$10*(1-IFERROR(AVERAGEIF($A$6:$A$69,B62,$P$6:$P$69)/100,0.5))),1)))</f>
        <v/>
      </c>
      <c r="T62" s="7" t="str">
        <f aca="false">IF(A62="","",IF(S62="","LOW SAMPLE",IF(OR(R62&gt;=Settings!$B$18,R62&lt;=1-Settings!$B$18,Q62&gt;=Settings!$B$19,Q62&lt;=1-Settings!$B$19),"CAUTION",IF(S62&gt;=Settings!$B$11,"HIGH",IF(S62&gt;=Settings!$B$12,"MEDIUM","LOW")))))</f>
        <v/>
      </c>
      <c r="U62" s="27" t="str">
        <f aca="false">IF(X62="","",RANK(X62,$X$6:$X$69))</f>
        <v/>
      </c>
      <c r="V62" s="9" t="str">
        <f aca="false">IF(A62="","",IF(T62="LOW SAMPLE","Not enough data — this combination has barely played together. Ignore tonight.",IF(T62="CAUTION","CAUTION: extreme CF%/xGF% split — likely a tiny sample, numbers unreliable. Left out of Top 3 and team score. ",T62&amp;" scoring chance. ")&amp;IF(F62-G62&gt;=Settings!$B$13,"Finishing above its xG — regression risk. ",IF(G62-F62&gt;=Settings!$B$13,"Creating more than it scores — due for goals. ","Goals in line with chances. "))&amp;IF(I62&gt;=LARGE($I$6:$I$69,3),"Top-3 high-danger creator on the slate. ","")&amp;"Faces "&amp;B62&amp;" (opp avg D-Score "&amp;TEXT(IFERROR(AVERAGEIF($A$6:$A$69,B62,$P$6:$P$69),0),"0")&amp;")."))</f>
        <v/>
      </c>
      <c r="W62" s="1" t="str">
        <f aca="false">IF(A62="","",IF(COUNTIF($A$6:A62,A62)=1,MAX($W$5:W61)+1,""))</f>
        <v/>
      </c>
      <c r="X62" s="1" t="str">
        <f aca="false">IF(OR(S62="",T62="CAUTION"),"",S62+ROW()/1000000)</f>
        <v/>
      </c>
      <c r="Y62" s="1" t="n">
        <f aca="false">IF(OR(S62="",T62="CAUTION"),0,S62*D62)</f>
        <v>0</v>
      </c>
      <c r="Z62" s="1" t="n">
        <f aca="false">IF(OR(S62="",T62="CAUTION"),0,D62)</f>
        <v>0</v>
      </c>
    </row>
    <row r="63" customFormat="false" ht="30" hidden="false" customHeight="true" outlineLevel="0" collapsed="false">
      <c r="A63" s="24"/>
      <c r="B63" s="24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6"/>
      <c r="S63" s="8" t="str">
        <f aca="false">IF(A63="","",IF(AND(G63=0,H63=0,I63=0),"",ROUND(100*(Settings!$B$9*(Settings!$B$5*IFERROR(PERCENTRANK($G$6:$G$69,G63),0.5)+Settings!$B$6*IFERROR(PERCENTRANK($I$6:$I$69,I63),0.5)+Settings!$B$7*IFERROR(PERCENTRANK($H$6:$H$69,H63),0.5)+Settings!$B$8*IFERROR(PERCENTRANK($E$6:$E$69,E63),0.5))+Settings!$B$10*(1-IFERROR(AVERAGEIF($A$6:$A$69,B63,$P$6:$P$69)/100,0.5))),1)))</f>
        <v/>
      </c>
      <c r="T63" s="7" t="str">
        <f aca="false">IF(A63="","",IF(S63="","LOW SAMPLE",IF(OR(R63&gt;=Settings!$B$18,R63&lt;=1-Settings!$B$18,Q63&gt;=Settings!$B$19,Q63&lt;=1-Settings!$B$19),"CAUTION",IF(S63&gt;=Settings!$B$11,"HIGH",IF(S63&gt;=Settings!$B$12,"MEDIUM","LOW")))))</f>
        <v/>
      </c>
      <c r="U63" s="27" t="str">
        <f aca="false">IF(X63="","",RANK(X63,$X$6:$X$69))</f>
        <v/>
      </c>
      <c r="V63" s="9" t="str">
        <f aca="false">IF(A63="","",IF(T63="LOW SAMPLE","Not enough data — this combination has barely played together. Ignore tonight.",IF(T63="CAUTION","CAUTION: extreme CF%/xGF% split — likely a tiny sample, numbers unreliable. Left out of Top 3 and team score. ",T63&amp;" scoring chance. ")&amp;IF(F63-G63&gt;=Settings!$B$13,"Finishing above its xG — regression risk. ",IF(G63-F63&gt;=Settings!$B$13,"Creating more than it scores — due for goals. ","Goals in line with chances. "))&amp;IF(I63&gt;=LARGE($I$6:$I$69,3),"Top-3 high-danger creator on the slate. ","")&amp;"Faces "&amp;B63&amp;" (opp avg D-Score "&amp;TEXT(IFERROR(AVERAGEIF($A$6:$A$69,B63,$P$6:$P$69),0),"0")&amp;")."))</f>
        <v/>
      </c>
      <c r="W63" s="1" t="str">
        <f aca="false">IF(A63="","",IF(COUNTIF($A$6:A63,A63)=1,MAX($W$5:W62)+1,""))</f>
        <v/>
      </c>
      <c r="X63" s="1" t="str">
        <f aca="false">IF(OR(S63="",T63="CAUTION"),"",S63+ROW()/1000000)</f>
        <v/>
      </c>
      <c r="Y63" s="1" t="n">
        <f aca="false">IF(OR(S63="",T63="CAUTION"),0,S63*D63)</f>
        <v>0</v>
      </c>
      <c r="Z63" s="1" t="n">
        <f aca="false">IF(OR(S63="",T63="CAUTION"),0,D63)</f>
        <v>0</v>
      </c>
    </row>
    <row r="64" customFormat="false" ht="30" hidden="false" customHeight="true" outlineLevel="0" collapsed="false">
      <c r="A64" s="24"/>
      <c r="B64" s="24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  <c r="R64" s="26"/>
      <c r="S64" s="8" t="str">
        <f aca="false">IF(A64="","",IF(AND(G64=0,H64=0,I64=0),"",ROUND(100*(Settings!$B$9*(Settings!$B$5*IFERROR(PERCENTRANK($G$6:$G$69,G64),0.5)+Settings!$B$6*IFERROR(PERCENTRANK($I$6:$I$69,I64),0.5)+Settings!$B$7*IFERROR(PERCENTRANK($H$6:$H$69,H64),0.5)+Settings!$B$8*IFERROR(PERCENTRANK($E$6:$E$69,E64),0.5))+Settings!$B$10*(1-IFERROR(AVERAGEIF($A$6:$A$69,B64,$P$6:$P$69)/100,0.5))),1)))</f>
        <v/>
      </c>
      <c r="T64" s="7" t="str">
        <f aca="false">IF(A64="","",IF(S64="","LOW SAMPLE",IF(OR(R64&gt;=Settings!$B$18,R64&lt;=1-Settings!$B$18,Q64&gt;=Settings!$B$19,Q64&lt;=1-Settings!$B$19),"CAUTION",IF(S64&gt;=Settings!$B$11,"HIGH",IF(S64&gt;=Settings!$B$12,"MEDIUM","LOW")))))</f>
        <v/>
      </c>
      <c r="U64" s="27" t="str">
        <f aca="false">IF(X64="","",RANK(X64,$X$6:$X$69))</f>
        <v/>
      </c>
      <c r="V64" s="9" t="str">
        <f aca="false">IF(A64="","",IF(T64="LOW SAMPLE","Not enough data — this combination has barely played together. Ignore tonight.",IF(T64="CAUTION","CAUTION: extreme CF%/xGF% split — likely a tiny sample, numbers unreliable. Left out of Top 3 and team score. ",T64&amp;" scoring chance. ")&amp;IF(F64-G64&gt;=Settings!$B$13,"Finishing above its xG — regression risk. ",IF(G64-F64&gt;=Settings!$B$13,"Creating more than it scores — due for goals. ","Goals in line with chances. "))&amp;IF(I64&gt;=LARGE($I$6:$I$69,3),"Top-3 high-danger creator on the slate. ","")&amp;"Faces "&amp;B64&amp;" (opp avg D-Score "&amp;TEXT(IFERROR(AVERAGEIF($A$6:$A$69,B64,$P$6:$P$69),0),"0")&amp;")."))</f>
        <v/>
      </c>
      <c r="W64" s="1" t="str">
        <f aca="false">IF(A64="","",IF(COUNTIF($A$6:A64,A64)=1,MAX($W$5:W63)+1,""))</f>
        <v/>
      </c>
      <c r="X64" s="1" t="str">
        <f aca="false">IF(OR(S64="",T64="CAUTION"),"",S64+ROW()/1000000)</f>
        <v/>
      </c>
      <c r="Y64" s="1" t="n">
        <f aca="false">IF(OR(S64="",T64="CAUTION"),0,S64*D64)</f>
        <v>0</v>
      </c>
      <c r="Z64" s="1" t="n">
        <f aca="false">IF(OR(S64="",T64="CAUTION"),0,D64)</f>
        <v>0</v>
      </c>
    </row>
    <row r="65" customFormat="false" ht="30" hidden="false" customHeight="true" outlineLevel="0" collapsed="false">
      <c r="A65" s="24"/>
      <c r="B65" s="24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  <c r="R65" s="26"/>
      <c r="S65" s="8" t="str">
        <f aca="false">IF(A65="","",IF(AND(G65=0,H65=0,I65=0),"",ROUND(100*(Settings!$B$9*(Settings!$B$5*IFERROR(PERCENTRANK($G$6:$G$69,G65),0.5)+Settings!$B$6*IFERROR(PERCENTRANK($I$6:$I$69,I65),0.5)+Settings!$B$7*IFERROR(PERCENTRANK($H$6:$H$69,H65),0.5)+Settings!$B$8*IFERROR(PERCENTRANK($E$6:$E$69,E65),0.5))+Settings!$B$10*(1-IFERROR(AVERAGEIF($A$6:$A$69,B65,$P$6:$P$69)/100,0.5))),1)))</f>
        <v/>
      </c>
      <c r="T65" s="7" t="str">
        <f aca="false">IF(A65="","",IF(S65="","LOW SAMPLE",IF(OR(R65&gt;=Settings!$B$18,R65&lt;=1-Settings!$B$18,Q65&gt;=Settings!$B$19,Q65&lt;=1-Settings!$B$19),"CAUTION",IF(S65&gt;=Settings!$B$11,"HIGH",IF(S65&gt;=Settings!$B$12,"MEDIUM","LOW")))))</f>
        <v/>
      </c>
      <c r="U65" s="27" t="str">
        <f aca="false">IF(X65="","",RANK(X65,$X$6:$X$69))</f>
        <v/>
      </c>
      <c r="V65" s="9" t="str">
        <f aca="false">IF(A65="","",IF(T65="LOW SAMPLE","Not enough data — this combination has barely played together. Ignore tonight.",IF(T65="CAUTION","CAUTION: extreme CF%/xGF% split — likely a tiny sample, numbers unreliable. Left out of Top 3 and team score. ",T65&amp;" scoring chance. ")&amp;IF(F65-G65&gt;=Settings!$B$13,"Finishing above its xG — regression risk. ",IF(G65-F65&gt;=Settings!$B$13,"Creating more than it scores — due for goals. ","Goals in line with chances. "))&amp;IF(I65&gt;=LARGE($I$6:$I$69,3),"Top-3 high-danger creator on the slate. ","")&amp;"Faces "&amp;B65&amp;" (opp avg D-Score "&amp;TEXT(IFERROR(AVERAGEIF($A$6:$A$69,B65,$P$6:$P$69),0),"0")&amp;")."))</f>
        <v/>
      </c>
      <c r="W65" s="1" t="str">
        <f aca="false">IF(A65="","",IF(COUNTIF($A$6:A65,A65)=1,MAX($W$5:W64)+1,""))</f>
        <v/>
      </c>
      <c r="X65" s="1" t="str">
        <f aca="false">IF(OR(S65="",T65="CAUTION"),"",S65+ROW()/1000000)</f>
        <v/>
      </c>
      <c r="Y65" s="1" t="n">
        <f aca="false">IF(OR(S65="",T65="CAUTION"),0,S65*D65)</f>
        <v>0</v>
      </c>
      <c r="Z65" s="1" t="n">
        <f aca="false">IF(OR(S65="",T65="CAUTION"),0,D65)</f>
        <v>0</v>
      </c>
    </row>
    <row r="66" customFormat="false" ht="30" hidden="false" customHeight="true" outlineLevel="0" collapsed="false">
      <c r="A66" s="24"/>
      <c r="B66" s="24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6"/>
      <c r="S66" s="8" t="str">
        <f aca="false">IF(A66="","",IF(AND(G66=0,H66=0,I66=0),"",ROUND(100*(Settings!$B$9*(Settings!$B$5*IFERROR(PERCENTRANK($G$6:$G$69,G66),0.5)+Settings!$B$6*IFERROR(PERCENTRANK($I$6:$I$69,I66),0.5)+Settings!$B$7*IFERROR(PERCENTRANK($H$6:$H$69,H66),0.5)+Settings!$B$8*IFERROR(PERCENTRANK($E$6:$E$69,E66),0.5))+Settings!$B$10*(1-IFERROR(AVERAGEIF($A$6:$A$69,B66,$P$6:$P$69)/100,0.5))),1)))</f>
        <v/>
      </c>
      <c r="T66" s="7" t="str">
        <f aca="false">IF(A66="","",IF(S66="","LOW SAMPLE",IF(OR(R66&gt;=Settings!$B$18,R66&lt;=1-Settings!$B$18,Q66&gt;=Settings!$B$19,Q66&lt;=1-Settings!$B$19),"CAUTION",IF(S66&gt;=Settings!$B$11,"HIGH",IF(S66&gt;=Settings!$B$12,"MEDIUM","LOW")))))</f>
        <v/>
      </c>
      <c r="U66" s="27" t="str">
        <f aca="false">IF(X66="","",RANK(X66,$X$6:$X$69))</f>
        <v/>
      </c>
      <c r="V66" s="9" t="str">
        <f aca="false">IF(A66="","",IF(T66="LOW SAMPLE","Not enough data — this combination has barely played together. Ignore tonight.",IF(T66="CAUTION","CAUTION: extreme CF%/xGF% split — likely a tiny sample, numbers unreliable. Left out of Top 3 and team score. ",T66&amp;" scoring chance. ")&amp;IF(F66-G66&gt;=Settings!$B$13,"Finishing above its xG — regression risk. ",IF(G66-F66&gt;=Settings!$B$13,"Creating more than it scores — due for goals. ","Goals in line with chances. "))&amp;IF(I66&gt;=LARGE($I$6:$I$69,3),"Top-3 high-danger creator on the slate. ","")&amp;"Faces "&amp;B66&amp;" (opp avg D-Score "&amp;TEXT(IFERROR(AVERAGEIF($A$6:$A$69,B66,$P$6:$P$69),0),"0")&amp;")."))</f>
        <v/>
      </c>
      <c r="W66" s="1" t="str">
        <f aca="false">IF(A66="","",IF(COUNTIF($A$6:A66,A66)=1,MAX($W$5:W65)+1,""))</f>
        <v/>
      </c>
      <c r="X66" s="1" t="str">
        <f aca="false">IF(OR(S66="",T66="CAUTION"),"",S66+ROW()/1000000)</f>
        <v/>
      </c>
      <c r="Y66" s="1" t="n">
        <f aca="false">IF(OR(S66="",T66="CAUTION"),0,S66*D66)</f>
        <v>0</v>
      </c>
      <c r="Z66" s="1" t="n">
        <f aca="false">IF(OR(S66="",T66="CAUTION"),0,D66)</f>
        <v>0</v>
      </c>
    </row>
    <row r="67" customFormat="false" ht="30" hidden="false" customHeight="true" outlineLevel="0" collapsed="false">
      <c r="A67" s="24"/>
      <c r="B67" s="24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  <c r="R67" s="26"/>
      <c r="S67" s="8" t="str">
        <f aca="false">IF(A67="","",IF(AND(G67=0,H67=0,I67=0),"",ROUND(100*(Settings!$B$9*(Settings!$B$5*IFERROR(PERCENTRANK($G$6:$G$69,G67),0.5)+Settings!$B$6*IFERROR(PERCENTRANK($I$6:$I$69,I67),0.5)+Settings!$B$7*IFERROR(PERCENTRANK($H$6:$H$69,H67),0.5)+Settings!$B$8*IFERROR(PERCENTRANK($E$6:$E$69,E67),0.5))+Settings!$B$10*(1-IFERROR(AVERAGEIF($A$6:$A$69,B67,$P$6:$P$69)/100,0.5))),1)))</f>
        <v/>
      </c>
      <c r="T67" s="7" t="str">
        <f aca="false">IF(A67="","",IF(S67="","LOW SAMPLE",IF(OR(R67&gt;=Settings!$B$18,R67&lt;=1-Settings!$B$18,Q67&gt;=Settings!$B$19,Q67&lt;=1-Settings!$B$19),"CAUTION",IF(S67&gt;=Settings!$B$11,"HIGH",IF(S67&gt;=Settings!$B$12,"MEDIUM","LOW")))))</f>
        <v/>
      </c>
      <c r="U67" s="27" t="str">
        <f aca="false">IF(X67="","",RANK(X67,$X$6:$X$69))</f>
        <v/>
      </c>
      <c r="V67" s="9" t="str">
        <f aca="false">IF(A67="","",IF(T67="LOW SAMPLE","Not enough data — this combination has barely played together. Ignore tonight.",IF(T67="CAUTION","CAUTION: extreme CF%/xGF% split — likely a tiny sample, numbers unreliable. Left out of Top 3 and team score. ",T67&amp;" scoring chance. ")&amp;IF(F67-G67&gt;=Settings!$B$13,"Finishing above its xG — regression risk. ",IF(G67-F67&gt;=Settings!$B$13,"Creating more than it scores — due for goals. ","Goals in line with chances. "))&amp;IF(I67&gt;=LARGE($I$6:$I$69,3),"Top-3 high-danger creator on the slate. ","")&amp;"Faces "&amp;B67&amp;" (opp avg D-Score "&amp;TEXT(IFERROR(AVERAGEIF($A$6:$A$69,B67,$P$6:$P$69),0),"0")&amp;")."))</f>
        <v/>
      </c>
      <c r="W67" s="1" t="str">
        <f aca="false">IF(A67="","",IF(COUNTIF($A$6:A67,A67)=1,MAX($W$5:W66)+1,""))</f>
        <v/>
      </c>
      <c r="X67" s="1" t="str">
        <f aca="false">IF(OR(S67="",T67="CAUTION"),"",S67+ROW()/1000000)</f>
        <v/>
      </c>
      <c r="Y67" s="1" t="n">
        <f aca="false">IF(OR(S67="",T67="CAUTION"),0,S67*D67)</f>
        <v>0</v>
      </c>
      <c r="Z67" s="1" t="n">
        <f aca="false">IF(OR(S67="",T67="CAUTION"),0,D67)</f>
        <v>0</v>
      </c>
    </row>
    <row r="68" customFormat="false" ht="30" hidden="false" customHeight="true" outlineLevel="0" collapsed="false">
      <c r="A68" s="24"/>
      <c r="B68" s="24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6"/>
      <c r="S68" s="8" t="str">
        <f aca="false">IF(A68="","",IF(AND(G68=0,H68=0,I68=0),"",ROUND(100*(Settings!$B$9*(Settings!$B$5*IFERROR(PERCENTRANK($G$6:$G$69,G68),0.5)+Settings!$B$6*IFERROR(PERCENTRANK($I$6:$I$69,I68),0.5)+Settings!$B$7*IFERROR(PERCENTRANK($H$6:$H$69,H68),0.5)+Settings!$B$8*IFERROR(PERCENTRANK($E$6:$E$69,E68),0.5))+Settings!$B$10*(1-IFERROR(AVERAGEIF($A$6:$A$69,B68,$P$6:$P$69)/100,0.5))),1)))</f>
        <v/>
      </c>
      <c r="T68" s="7" t="str">
        <f aca="false">IF(A68="","",IF(S68="","LOW SAMPLE",IF(OR(R68&gt;=Settings!$B$18,R68&lt;=1-Settings!$B$18,Q68&gt;=Settings!$B$19,Q68&lt;=1-Settings!$B$19),"CAUTION",IF(S68&gt;=Settings!$B$11,"HIGH",IF(S68&gt;=Settings!$B$12,"MEDIUM","LOW")))))</f>
        <v/>
      </c>
      <c r="U68" s="27" t="str">
        <f aca="false">IF(X68="","",RANK(X68,$X$6:$X$69))</f>
        <v/>
      </c>
      <c r="V68" s="9" t="str">
        <f aca="false">IF(A68="","",IF(T68="LOW SAMPLE","Not enough data — this combination has barely played together. Ignore tonight.",IF(T68="CAUTION","CAUTION: extreme CF%/xGF% split — likely a tiny sample, numbers unreliable. Left out of Top 3 and team score. ",T68&amp;" scoring chance. ")&amp;IF(F68-G68&gt;=Settings!$B$13,"Finishing above its xG — regression risk. ",IF(G68-F68&gt;=Settings!$B$13,"Creating more than it scores — due for goals. ","Goals in line with chances. "))&amp;IF(I68&gt;=LARGE($I$6:$I$69,3),"Top-3 high-danger creator on the slate. ","")&amp;"Faces "&amp;B68&amp;" (opp avg D-Score "&amp;TEXT(IFERROR(AVERAGEIF($A$6:$A$69,B68,$P$6:$P$69),0),"0")&amp;")."))</f>
        <v/>
      </c>
      <c r="W68" s="1" t="str">
        <f aca="false">IF(A68="","",IF(COUNTIF($A$6:A68,A68)=1,MAX($W$5:W67)+1,""))</f>
        <v/>
      </c>
      <c r="X68" s="1" t="str">
        <f aca="false">IF(OR(S68="",T68="CAUTION"),"",S68+ROW()/1000000)</f>
        <v/>
      </c>
      <c r="Y68" s="1" t="n">
        <f aca="false">IF(OR(S68="",T68="CAUTION"),0,S68*D68)</f>
        <v>0</v>
      </c>
      <c r="Z68" s="1" t="n">
        <f aca="false">IF(OR(S68="",T68="CAUTION"),0,D68)</f>
        <v>0</v>
      </c>
    </row>
    <row r="69" customFormat="false" ht="30" hidden="false" customHeight="true" outlineLevel="0" collapsed="false">
      <c r="A69" s="24"/>
      <c r="B69" s="24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6"/>
      <c r="R69" s="26"/>
      <c r="S69" s="8" t="str">
        <f aca="false">IF(A69="","",IF(AND(G69=0,H69=0,I69=0),"",ROUND(100*(Settings!$B$9*(Settings!$B$5*IFERROR(PERCENTRANK($G$6:$G$69,G69),0.5)+Settings!$B$6*IFERROR(PERCENTRANK($I$6:$I$69,I69),0.5)+Settings!$B$7*IFERROR(PERCENTRANK($H$6:$H$69,H69),0.5)+Settings!$B$8*IFERROR(PERCENTRANK($E$6:$E$69,E69),0.5))+Settings!$B$10*(1-IFERROR(AVERAGEIF($A$6:$A$69,B69,$P$6:$P$69)/100,0.5))),1)))</f>
        <v/>
      </c>
      <c r="T69" s="7" t="str">
        <f aca="false">IF(A69="","",IF(S69="","LOW SAMPLE",IF(OR(R69&gt;=Settings!$B$18,R69&lt;=1-Settings!$B$18,Q69&gt;=Settings!$B$19,Q69&lt;=1-Settings!$B$19),"CAUTION",IF(S69&gt;=Settings!$B$11,"HIGH",IF(S69&gt;=Settings!$B$12,"MEDIUM","LOW")))))</f>
        <v/>
      </c>
      <c r="U69" s="27" t="str">
        <f aca="false">IF(X69="","",RANK(X69,$X$6:$X$69))</f>
        <v/>
      </c>
      <c r="V69" s="9" t="str">
        <f aca="false">IF(A69="","",IF(T69="LOW SAMPLE","Not enough data — this combination has barely played together. Ignore tonight.",IF(T69="CAUTION","CAUTION: extreme CF%/xGF% split — likely a tiny sample, numbers unreliable. Left out of Top 3 and team score. ",T69&amp;" scoring chance. ")&amp;IF(F69-G69&gt;=Settings!$B$13,"Finishing above its xG — regression risk. ",IF(G69-F69&gt;=Settings!$B$13,"Creating more than it scores — due for goals. ","Goals in line with chances. "))&amp;IF(I69&gt;=LARGE($I$6:$I$69,3),"Top-3 high-danger creator on the slate. ","")&amp;"Faces "&amp;B69&amp;" (opp avg D-Score "&amp;TEXT(IFERROR(AVERAGEIF($A$6:$A$69,B69,$P$6:$P$69),0),"0")&amp;")."))</f>
        <v/>
      </c>
      <c r="W69" s="1" t="str">
        <f aca="false">IF(A69="","",IF(COUNTIF($A$6:A69,A69)=1,MAX($W$5:W68)+1,""))</f>
        <v/>
      </c>
      <c r="X69" s="1" t="str">
        <f aca="false">IF(OR(S69="",T69="CAUTION"),"",S69+ROW()/1000000)</f>
        <v/>
      </c>
      <c r="Y69" s="1" t="n">
        <f aca="false">IF(OR(S69="",T69="CAUTION"),0,S69*D69)</f>
        <v>0</v>
      </c>
      <c r="Z69" s="1" t="n">
        <f aca="false">IF(OR(S69="",T69="CAUTION"),0,D69)</f>
        <v>0</v>
      </c>
    </row>
  </sheetData>
  <mergeCells count="7">
    <mergeCell ref="A1:V1"/>
    <mergeCell ref="A2:V2"/>
    <mergeCell ref="A4:D4"/>
    <mergeCell ref="E4:J4"/>
    <mergeCell ref="K4:P4"/>
    <mergeCell ref="Q4:R4"/>
    <mergeCell ref="S4:V4"/>
  </mergeCells>
  <conditionalFormatting sqref="D6:D6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6:E6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6:F6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6:G6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6:H6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6:I69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:J6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6:P69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:Q69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6:R69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6:K69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6:L69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:M69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6:N69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6:O69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6:S6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6:C69">
    <cfRule type="expression" priority="18" aboveAverage="0" equalAverage="0" bottom="0" percent="0" rank="0" text="" dxfId="6">
      <formula>$T6="HIGH"</formula>
    </cfRule>
  </conditionalFormatting>
  <conditionalFormatting sqref="T6:V69">
    <cfRule type="expression" priority="19" aboveAverage="0" equalAverage="0" bottom="0" percent="0" rank="0" text="" dxfId="6">
      <formula>$T6="HIGH"</formula>
    </cfRule>
  </conditionalFormatting>
  <conditionalFormatting sqref="T6:T69">
    <cfRule type="expression" priority="20" aboveAverage="0" equalAverage="0" bottom="0" percent="0" rank="0" text="" dxfId="7">
      <formula>$T6="LOW"</formula>
    </cfRule>
    <cfRule type="expression" priority="21" aboveAverage="0" equalAverage="0" bottom="0" percent="0" rank="0" text="" dxfId="8">
      <formula>$T6="CAUTION"</formula>
    </cfRule>
  </conditionalFormatting>
  <conditionalFormatting sqref="A6:V69">
    <cfRule type="expression" priority="22" aboveAverage="0" equalAverage="0" bottom="0" percent="0" rank="0" text="" dxfId="9">
      <formula>$T6="LOW SAMPLE"</formula>
    </cfRule>
  </conditionalFormatting>
  <conditionalFormatting sqref="V6:V69">
    <cfRule type="expression" priority="23" aboveAverage="0" equalAverage="0" bottom="0" percent="0" rank="0" text="" dxfId="10">
      <formula>$T6="CAUTION"</formula>
    </cfRule>
  </conditionalFormatting>
  <dataValidations count="1">
    <dataValidation allowBlank="true" errorStyle="stop" operator="between" showDropDown="false" showErrorMessage="false" showInputMessage="false" sqref="C6:C69" type="list">
      <formula1>"FL1,FL2,FL3,FL4"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29" t="s">
        <v>83</v>
      </c>
    </row>
    <row r="2" customFormat="false" ht="15" hidden="false" customHeight="true" outlineLevel="0" collapsed="false">
      <c r="A2" s="30" t="s">
        <v>84</v>
      </c>
    </row>
    <row r="4" customFormat="false" ht="15" hidden="false" customHeight="true" outlineLevel="0" collapsed="false">
      <c r="A4" s="31" t="s">
        <v>85</v>
      </c>
      <c r="B4" s="31" t="s">
        <v>86</v>
      </c>
      <c r="C4" s="31" t="s">
        <v>87</v>
      </c>
    </row>
    <row r="5" customFormat="false" ht="15" hidden="false" customHeight="true" outlineLevel="0" collapsed="false">
      <c r="A5" s="32" t="s">
        <v>88</v>
      </c>
      <c r="B5" s="33" t="n">
        <v>0.35</v>
      </c>
      <c r="C5" s="34" t="s">
        <v>89</v>
      </c>
    </row>
    <row r="6" customFormat="false" ht="15" hidden="false" customHeight="true" outlineLevel="0" collapsed="false">
      <c r="A6" s="32" t="s">
        <v>90</v>
      </c>
      <c r="B6" s="33" t="n">
        <v>0.3</v>
      </c>
      <c r="C6" s="34" t="s">
        <v>91</v>
      </c>
    </row>
    <row r="7" customFormat="false" ht="15" hidden="false" customHeight="true" outlineLevel="0" collapsed="false">
      <c r="A7" s="32" t="s">
        <v>92</v>
      </c>
      <c r="B7" s="33" t="n">
        <v>0.2</v>
      </c>
      <c r="C7" s="34" t="s">
        <v>93</v>
      </c>
    </row>
    <row r="8" customFormat="false" ht="15" hidden="false" customHeight="true" outlineLevel="0" collapsed="false">
      <c r="A8" s="32" t="s">
        <v>94</v>
      </c>
      <c r="B8" s="33" t="n">
        <v>0.15</v>
      </c>
      <c r="C8" s="34" t="s">
        <v>95</v>
      </c>
    </row>
    <row r="9" customFormat="false" ht="15" hidden="false" customHeight="true" outlineLevel="0" collapsed="false">
      <c r="A9" s="32" t="s">
        <v>96</v>
      </c>
      <c r="B9" s="33" t="n">
        <v>0.7</v>
      </c>
      <c r="C9" s="34" t="s">
        <v>97</v>
      </c>
    </row>
    <row r="10" customFormat="false" ht="15" hidden="false" customHeight="true" outlineLevel="0" collapsed="false">
      <c r="A10" s="32" t="s">
        <v>98</v>
      </c>
      <c r="B10" s="33" t="n">
        <v>0.3</v>
      </c>
      <c r="C10" s="34" t="s">
        <v>99</v>
      </c>
    </row>
    <row r="11" customFormat="false" ht="15" hidden="false" customHeight="true" outlineLevel="0" collapsed="false">
      <c r="A11" s="32" t="s">
        <v>100</v>
      </c>
      <c r="B11" s="35" t="n">
        <v>62</v>
      </c>
      <c r="C11" s="34" t="s">
        <v>101</v>
      </c>
    </row>
    <row r="12" customFormat="false" ht="15" hidden="false" customHeight="true" outlineLevel="0" collapsed="false">
      <c r="A12" s="32" t="s">
        <v>102</v>
      </c>
      <c r="B12" s="35" t="n">
        <v>45</v>
      </c>
      <c r="C12" s="34" t="s">
        <v>103</v>
      </c>
    </row>
    <row r="13" customFormat="false" ht="15" hidden="false" customHeight="true" outlineLevel="0" collapsed="false">
      <c r="A13" s="32" t="s">
        <v>104</v>
      </c>
      <c r="B13" s="33" t="n">
        <v>1</v>
      </c>
      <c r="C13" s="34" t="s">
        <v>105</v>
      </c>
    </row>
    <row r="15" customFormat="false" ht="15" hidden="false" customHeight="true" outlineLevel="0" collapsed="false">
      <c r="A15" s="36" t="s">
        <v>106</v>
      </c>
      <c r="B15" s="37" t="n">
        <f aca="false">SUM(B5:B8)</f>
        <v>1</v>
      </c>
      <c r="C15" s="36" t="str">
        <f aca="false">IF(ROUND(B15,2)=1,"OK","Weights should add to 1.00")</f>
        <v>OK</v>
      </c>
    </row>
    <row r="16" customFormat="false" ht="15" hidden="false" customHeight="true" outlineLevel="0" collapsed="false">
      <c r="A16" s="36" t="s">
        <v>107</v>
      </c>
      <c r="B16" s="37" t="n">
        <f aca="false">B9+B10</f>
        <v>1</v>
      </c>
      <c r="C16" s="36" t="str">
        <f aca="false">IF(ROUND(B16,2)=1,"OK","Shares should add to 1.00")</f>
        <v>OK</v>
      </c>
    </row>
    <row r="18" customFormat="false" ht="15" hidden="false" customHeight="true" outlineLevel="0" collapsed="false">
      <c r="A18" s="32" t="s">
        <v>108</v>
      </c>
      <c r="B18" s="38" t="n">
        <v>0.75</v>
      </c>
      <c r="C18" s="34" t="s">
        <v>109</v>
      </c>
    </row>
    <row r="19" customFormat="false" ht="15" hidden="false" customHeight="true" outlineLevel="0" collapsed="false">
      <c r="A19" s="32" t="s">
        <v>110</v>
      </c>
      <c r="B19" s="38" t="n">
        <v>0.7</v>
      </c>
      <c r="C19" s="34" t="s">
        <v>111</v>
      </c>
    </row>
    <row r="20" customFormat="false" ht="15" hidden="false" customHeight="true" outlineLevel="0" collapsed="false">
      <c r="A20" s="32" t="s">
        <v>112</v>
      </c>
      <c r="B20" s="35" t="n">
        <v>100</v>
      </c>
      <c r="C20" s="3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2026-10-08T00:29:24Z</dcterms:created>
  <dc:creator>openpyxl</dc:creator>
  <dc:description/>
  <dc:language>en-US</dc:language>
  <cp:lastModifiedBy/>
  <dcterms:modified xsi:type="dcterms:W3CDTF">2026-10-08T01:03:21Z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